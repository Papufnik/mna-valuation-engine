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Adjusted EBITDA Bridge" sheetId="2" state="visible" r:id="rId4"/>
    <sheet name="Add-Back Detail" sheetId="3" state="visible" r:id="rId5"/>
    <sheet name="Revenue &amp; Margin Quality" sheetId="4" state="visible" r:id="rId6"/>
    <sheet name="NWC Analysis" sheetId="5" state="visible" r:id="rId7"/>
    <sheet name="Notes &amp; Limit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build_qoe_workbook.py</author>
  </authors>
  <commentList>
    <comment ref="B4" authorId="0">
      <text>
        <r>
          <rPr>
            <sz val="10"/>
            <rFont val="Arial"/>
            <family val="2"/>
          </rPr>
          <t xml:space="preserve">Source: mna_valuation_engine.py get_verified_net_income() -- live from business_tax_package_latest.xlsx, Tab 2 B59. Verified.</t>
        </r>
      </text>
    </comment>
    <comment ref="B7" authorId="0">
      <text>
        <r>
          <rPr>
            <sz val="10"/>
            <rFont val="Arial"/>
            <family val="2"/>
          </rPr>
          <t xml:space="preserve">No interest-bearing business debt identified in the tax package as of this engagement -- confirm against the balance sheet before assuming $0.</t>
        </r>
      </text>
    </comment>
    <comment ref="B8" authorId="0">
      <text>
        <r>
          <rPr>
            <sz val="10"/>
            <rFont val="Arial"/>
            <family val="2"/>
          </rPr>
          <t xml:space="preserve">Pass-through entity (net income already reported pre-entity-level-tax on the owner's return) -- consistent with SDE convention, not a true GAAP EBITDA bridge. See Notes &amp; Limitations.</t>
        </r>
      </text>
    </comment>
    <comment ref="B9" authorId="0">
      <text>
        <r>
          <rPr>
            <sz val="10"/>
            <rFont val="Arial"/>
            <family val="2"/>
          </rPr>
          <t xml:space="preserve">No D&amp;A separately broken out in the tax package income statement as provided -- if fixed-asset depreciation exists, it is already embedded in reported net income and NOT separately added back here. Confirm against the depreciation schedule/Form 4562 before relying on this.</t>
        </r>
      </text>
    </comment>
    <comment ref="B13" authorId="0">
      <text>
        <r>
          <rPr>
            <sz val="10"/>
            <rFont val="Arial"/>
            <family val="2"/>
          </rPr>
          <t xml:space="preserve">Source: mna_valuation_engine.py addBackBreakdown. Not yet traced to bank/ledger detail at the annual level -- see Add-Back Detail tab for the monthly breakdown attempted here.</t>
        </r>
      </text>
    </comment>
    <comment ref="B14" authorId="0">
      <text>
        <r>
          <rPr>
            <sz val="10"/>
            <rFont val="Arial"/>
            <family val="2"/>
          </rPr>
          <t xml:space="preserve">Source: mna_valuation_engine.py addBackBreakdown. Not yet traced to bank/ledger detail -- see Add-Back Detail tab.</t>
        </r>
      </text>
    </comment>
    <comment ref="B19" authorId="0">
      <text>
        <r>
          <rPr>
            <sz val="10"/>
            <rFont val="Arial"/>
            <family val="2"/>
          </rPr>
          <t xml:space="preserve">Cross-check figure, not an independent input -- pulled from the same engine's output for the tie-out check in B20.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build_qoe_workbook.py</author>
  </authors>
  <commentList>
    <comment ref="B4" authorId="0">
      <text>
        <r>
          <rPr>
            <sz val="10"/>
            <rFont val="Arial"/>
            <family val="2"/>
          </rPr>
          <t xml:space="preserve">Illustrative quarterly split of the Year 0 LTM revenue used in lbo_model's Assumptions tab -- specialty-retail seasonality (post-holiday Q1 trough, Q4 holiday peak).</t>
        </r>
      </text>
    </comment>
    <comment ref="B7" authorId="0">
      <text>
        <r>
          <rPr>
            <sz val="10"/>
            <rFont val="Arial"/>
            <family val="2"/>
          </rPr>
          <t xml:space="preserve">Illustrative -- Q1 reflects post-holiday clearance markdowns; Q4 reflects full-price holiday selling. Confirm against actual COGS by month before relying on this pattern.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build_qoe_workbook.py</author>
  </authors>
  <commentList>
    <comment ref="B4" authorId="0">
      <text>
        <r>
          <rPr>
            <sz val="10"/>
            <rFont val="Arial"/>
            <family val="2"/>
          </rPr>
          <t xml:space="preserve">Illustrative -- most sales are POS/card at point of sale with no receivable; AR here is wholesale (Faire) invoices outstanding. Confirm against the Faire payment tracker and AR aging report.</t>
        </r>
      </text>
    </comment>
    <comment ref="B5" authorId="0">
      <text>
        <r>
          <rPr>
            <sz val="10"/>
            <rFont val="Arial"/>
            <family val="2"/>
          </rPr>
          <t xml:space="preserve">Illustrative -- builds ahead of Q4 holiday selling, sells through in December. Confirm against physical/cycle count, not just the perpetual POS inventory value, before relying on this.</t>
        </r>
      </text>
    </comment>
    <comment ref="B6" authorId="0">
      <text>
        <r>
          <rPr>
            <sz val="10"/>
            <rFont val="Arial"/>
            <family val="2"/>
          </rPr>
          <t xml:space="preserve">Illustrative -- follows inventory purchasing with roughly a one-month lag. Confirm against actual vendor AP aging.</t>
        </r>
      </text>
    </comment>
    <comment ref="B13" authorId="0">
      <text>
        <r>
          <rPr>
            <sz val="10"/>
            <rFont val="Arial"/>
            <family val="2"/>
          </rPr>
          <t xml:space="preserve">Standard convention: peg to a trailing average, not a single point-in-time balance, so neither party is rewarded for timing the close around a seasonal low or high. Confirm this convention against the actual purchase agreement language before relying on it.</t>
        </r>
      </text>
    </comment>
    <comment ref="B15" authorId="0">
      <text>
        <r>
          <rPr>
            <sz val="10"/>
            <rFont val="Arial"/>
            <family val="2"/>
          </rPr>
          <t xml:space="preserve">Mechanically, a positive delta increases the price paid at close (seller delivered more working capital than the peg); a negative delta decreases it. Sign convention should be confirmed against the actual purchase agreement before use.</t>
        </r>
      </text>
    </comment>
  </commentList>
</comments>
</file>

<file path=xl/sharedStrings.xml><?xml version="1.0" encoding="utf-8"?>
<sst xmlns="http://schemas.openxmlformats.org/spreadsheetml/2006/main" count="128" uniqueCount="93">
  <si>
    <t xml:space="preserve">Quality of Earnings Workbook</t>
  </si>
  <si>
    <t xml:space="preserve">Illustrative buy-side QoE analysis for the same anonymized deal valued in mna_valuation_engine.py and financed in lbo_model/LBO_Model.xlsx -- reported net income $148,220.60, two owner/non-recurring add-backs totaling $21,755.00, recast SDE $169,975.60.</t>
  </si>
  <si>
    <t xml:space="preserve">Scope: Adjusted EBITDA bridge (with monthly add-back detail, not just the annual total), quarterly revenue and gross margin trend, and net working capital normalization with a proposed closing peg. This is the standard first pass of a buy-side or sell-side-readiness QoE for a deal this size -- it does not include a full independent audit, customer/vendor confirmation letters, or a formal tax opinion, all of which a real engagement would add.</t>
  </si>
  <si>
    <t xml:space="preserve">Every add-back and every NWC input below is flagged verified or unverified against a specific source, the same discipline mna_valuation_engine.py established. Nothing here should be presented to a lender, buyer, or seller as final until every unverified item is traced to source documents (bank statements, POS exports, AP/AR aging) -- see Notes &amp; Limitations.</t>
  </si>
  <si>
    <t xml:space="preserve">Contents</t>
  </si>
  <si>
    <t xml:space="preserve">- Adjusted EBITDA Bridge -- annual bridge from reported net income to adjusted SDE, reconciled to mna_valuation_engine.py</t>
  </si>
  <si>
    <t xml:space="preserve">- Add-Back Detail -- the two annual add-backs broken into monthly/source-traceable line items</t>
  </si>
  <si>
    <t xml:space="preserve">- Revenue &amp; Margin Quality -- quarterly revenue and gross margin trend, seasonality, and flags</t>
  </si>
  <si>
    <t xml:space="preserve">- NWC Analysis -- trailing-12-month monthly working capital, average vs. at-close, proposed peg</t>
  </si>
  <si>
    <t xml:space="preserve">- Notes &amp; Limitations</t>
  </si>
  <si>
    <t xml:space="preserve">Adjusted EBITDA Bridge (TTM)</t>
  </si>
  <si>
    <t xml:space="preserve">Starting Point</t>
  </si>
  <si>
    <t xml:space="preserve">Reported Net Income</t>
  </si>
  <si>
    <t xml:space="preserve">Verified -- traces to reconciled tax package</t>
  </si>
  <si>
    <t xml:space="preserve">Above-the-Line Adjustments (to get from Net Income to EBITDA)</t>
  </si>
  <si>
    <t xml:space="preserve">+ Interest Expense</t>
  </si>
  <si>
    <t xml:space="preserve">Unverified -- confirm no interest-bearing debt on balance sheet</t>
  </si>
  <si>
    <t xml:space="preserve">+ Income Taxes</t>
  </si>
  <si>
    <t xml:space="preserve">N/A -- pass-through entity, see Notes</t>
  </si>
  <si>
    <t xml:space="preserve">+ Depreciation &amp; Amortization</t>
  </si>
  <si>
    <t xml:space="preserve">Unverified -- confirm no embedded D&amp;A being missed</t>
  </si>
  <si>
    <t xml:space="preserve">EBITDA (as reported)</t>
  </si>
  <si>
    <t xml:space="preserve">Normalizing Add-Backs (owner/non-recurring)</t>
  </si>
  <si>
    <t xml:space="preserve">+ Owner Discretionary Draw &amp; Health Benefits</t>
  </si>
  <si>
    <t xml:space="preserve">Unverified -- see Add-Back Detail tab</t>
  </si>
  <si>
    <t xml:space="preserve">+ One-Time Store Improvement (Wayfair Fixtures)</t>
  </si>
  <si>
    <t xml:space="preserve">Total Normalizing Add-Backs</t>
  </si>
  <si>
    <t xml:space="preserve">Adjusted EBITDA / SDE</t>
  </si>
  <si>
    <t xml:space="preserve">Adjusted EBITDA (= Recast SDE)</t>
  </si>
  <si>
    <t xml:space="preserve">Reconciles to mna_valuation_engine.py recastSDE</t>
  </si>
  <si>
    <t xml:space="preserve">Tie-out check (should be 0)</t>
  </si>
  <si>
    <t xml:space="preserve">Quality Read</t>
  </si>
  <si>
    <t xml:space="preserve">Of the $169,975.60 adjusted figure, $148,220.60 (87.2%) is verified reported net income and $21,755.00 (12.8%) is unverified add-backs. A buyer should treat the unverified 12.8% as the highest-risk slice of the number until it's traced to source documents -- see Add-Back Detail.</t>
  </si>
  <si>
    <t xml:space="preserve">Add-Back Detail -- Monthly Trace Attempt</t>
  </si>
  <si>
    <t xml:space="preserve">Illustrative monthly allocation of the two annual add-backs from mna_valuation_engine.py. Real owner draws and one-time purchases don't land evenly across the year -- this tab exists to show the kind of month-by-month tracing a real QoE would do against bank/ledger detail, not to claim these specific monthly splits are themselves verified.</t>
  </si>
  <si>
    <t xml:space="preserve">Owner Discretionary Draw &amp; Health Benefits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</si>
  <si>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</si>
  <si>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</si>
  <si>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</si>
  <si>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</si>
  <si>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</si>
  <si>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</si>
  <si>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</si>
  <si>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</si>
  <si>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</si>
  <si>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</si>
  <si>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</si>
  <si>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</si>
  <si>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  Monthly draw amount</t>
  </si>
  <si>
    <t xml:space="preserve">  Running total (should hit $20,140.00 at Dec)</t>
  </si>
  <si>
    <t xml:space="preserve">  Verified against bank statement?</t>
  </si>
  <si>
    <t xml:space="preserve">No</t>
  </si>
  <si>
    <t xml:space="preserve">One-Time Store Improvement (Wayfair Fixtures)</t>
  </si>
  <si>
    <t xml:space="preserve">  Monthly amount</t>
  </si>
  <si>
    <t xml:space="preserve">  Verified against invoice/receipt?</t>
  </si>
  <si>
    <t xml:space="preserve">N/A</t>
  </si>
  <si>
    <t xml:space="preserve">Unverified -- invoice not yet located</t>
  </si>
  <si>
    <t xml:space="preserve">Reconciliation</t>
  </si>
  <si>
    <t xml:space="preserve">Sum of monthly draw allocations</t>
  </si>
  <si>
    <t xml:space="preserve">Annual figure per mna_valuation_engine.py</t>
  </si>
  <si>
    <t xml:space="preserve">Check (should be 0)</t>
  </si>
  <si>
    <t xml:space="preserve">Revenue &amp; Gross Margin Quality (TTM by Quarter)</t>
  </si>
  <si>
    <t xml:space="preserve">Q1 (Jan-Mar)</t>
  </si>
  <si>
    <t xml:space="preserve">Q2 (Apr-Jun)</t>
  </si>
  <si>
    <t xml:space="preserve">Q3 (Jul-Sep)</t>
  </si>
  <si>
    <t xml:space="preserve">Q4 (Oct-Dec)</t>
  </si>
  <si>
    <t xml:space="preserve">TTM Total</t>
  </si>
  <si>
    <t xml:space="preserve">Revenue</t>
  </si>
  <si>
    <t xml:space="preserve">Revenue, % of TTM</t>
  </si>
  <si>
    <t xml:space="preserve">Gross Margin %</t>
  </si>
  <si>
    <t xml:space="preserve">Gross Profit ($)</t>
  </si>
  <si>
    <t xml:space="preserve">Blended TTM Gross Margin %</t>
  </si>
  <si>
    <t xml:space="preserve">Flags</t>
  </si>
  <si>
    <t xml:space="preserve">Q4 carries 35.0% of TTM revenue at the highest quarterly margin (53.0%) -- a single strong holiday season is doing an outsized share of the year's earnings. A buyer should pressure-test Q4 specifically (was there a one-time bulk/wholesale order, a new account, or a promotion that won't repeat?) rather than assuming next year's Q4 repeats at the same scale.</t>
  </si>
  <si>
    <t xml:space="preserve">Net Working Capital Analysis (Trailing 12 Months)</t>
  </si>
  <si>
    <t xml:space="preserve">Avg / Total</t>
  </si>
  <si>
    <t xml:space="preserve">Accounts Receivable (Faire wholesale)</t>
  </si>
  <si>
    <t xml:space="preserve">Inventory (at cost)</t>
  </si>
  <si>
    <t xml:space="preserve">Accounts Payable (trade)</t>
  </si>
  <si>
    <t xml:space="preserve">Net Working Capital (AR + Inventory - AP)</t>
  </si>
  <si>
    <t xml:space="preserve">Peg Calculation</t>
  </si>
  <si>
    <t xml:space="preserve">Trailing 12-Month Average NWC</t>
  </si>
  <si>
    <t xml:space="preserve">At-Close NWC (most recent month, Dec)</t>
  </si>
  <si>
    <t xml:space="preserve">Proposed NWC Peg (12-month average)</t>
  </si>
  <si>
    <t xml:space="preserve">Delta: At-Close vs. Peg (positive = seller delivers extra NWC)</t>
  </si>
  <si>
    <t xml:space="preserve">Implied Purchase Price Adjustment</t>
  </si>
  <si>
    <t xml:space="preserve">December's NWC is a poor stand-in for a 'normal' month -- inventory is still elevated from holiday buying and hasn't fully sold through. If closing lands near year-end, pegging to the trailing-12-month average (rather than the at-close balance) meaningfully protects the buyer from overpaying for seasonal inventory that's about to be marked down.</t>
  </si>
  <si>
    <t xml:space="preserve">Notes &amp; Limitations</t>
  </si>
  <si>
    <t xml:space="preserve">This is an SDE-convention bridge (pre-tax, pass-through), not a GAAP EBITDA bridge -- interest, tax, and D&amp;A lines are included for format familiarity but are $0 or N/A for this entity type, consistent with mna_valuation_engine.py and lbo_model/build_lbo_model.py elsewhere in this repo.</t>
  </si>
  <si>
    <t xml:space="preserve">The monthly add-back allocation on the Add-Back Detail tab is illustrative, not independently verified -- it exists to demonstrate the level of granularity a real QoE traces to (bank statement line items, dated receipts), not to certify these specific monthly splits. Every cell there is explicitly marked unverified.</t>
  </si>
  <si>
    <t xml:space="preserve">Quarterly revenue and gross margin figures, and all twelve months of AR/Inventory/AP on the NWC Analysis tab, are illustrative and were not pulled from a live POS or accounting export for this portfolio version -- see each tab's cell comments for what a real engagement would confirm them against (Faire payment tracker, AR aging, physical inventory count, vendor AP aging).</t>
  </si>
  <si>
    <t xml:space="preserve">A real QoE engagement would also include: customer/vendor concentration analysis, related-party transaction review, a cash-basis-to-accrual-basis reconciliation, lease and other off-balance-sheet commitment review, and (for a deal this size) a review of owner-vs-business expense commingling beyond the two add-backs already identified. None of those are in scope here -- this workbook demonstrates the EBITDA-bridge and NWC-peg mechanics, not a complete diligence engagement.</t>
  </si>
  <si>
    <t xml:space="preserve">This is a portfolio project. The deal, business, and dollar figures are illustrative and tie to the same anonymized scenario as mna_valuation_engine.py and lbo_model/LBO_Model.xlsx elsewhere in this repo -- no real business's financial data appears here.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</si>
</sst>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B00000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CE4E4"/>
      </patternFill>
    </fill>
    <fill>
      <patternFill patternType="solid">
        <fgColor rgb="FF8B3A4A"/>
        <bgColor rgb="FF993366"/>
      </patternFill>
    </fill>
    <fill>
      <patternFill patternType="solid">
        <fgColor rgb="FFFCE4E4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B3A4A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35.0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46.2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/>
    </row>
    <row r="7" customFormat="false" ht="35.05" hidden="false" customHeight="false" outlineLevel="0" collapsed="false">
      <c r="A7" s="2" t="s">
        <v>3</v>
      </c>
    </row>
    <row r="12" customFormat="false" ht="15" hidden="false" customHeight="false" outlineLevel="0" collapsed="false">
      <c r="A12" s="3" t="s">
        <v>4</v>
      </c>
    </row>
    <row r="13" customFormat="false" ht="23.85" hidden="false" customHeight="false" outlineLevel="0" collapsed="false">
      <c r="A13" s="2" t="s">
        <v>5</v>
      </c>
    </row>
    <row r="14" customFormat="false" ht="15" hidden="false" customHeight="false" outlineLevel="0" collapsed="false">
      <c r="A14" s="2" t="s">
        <v>6</v>
      </c>
    </row>
    <row r="15" customFormat="false" ht="15" hidden="false" customHeight="false" outlineLevel="0" collapsed="false">
      <c r="A15" s="2" t="s">
        <v>7</v>
      </c>
    </row>
    <row r="16" customFormat="false" ht="15" hidden="false" customHeight="false" outlineLevel="0" collapsed="false">
      <c r="A16" s="2" t="s">
        <v>8</v>
      </c>
    </row>
    <row r="17" customFormat="false" ht="15" hidden="false" customHeight="false" outlineLevel="0" collapsed="false">
      <c r="A17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10</v>
      </c>
    </row>
    <row r="3" customFormat="false" ht="15" hidden="false" customHeight="false" outlineLevel="0" collapsed="false">
      <c r="A3" s="3" t="s">
        <v>11</v>
      </c>
    </row>
    <row r="4" customFormat="false" ht="15" hidden="false" customHeight="false" outlineLevel="0" collapsed="false">
      <c r="A4" s="4" t="s">
        <v>12</v>
      </c>
      <c r="B4" s="5" t="n">
        <v>148220.6</v>
      </c>
      <c r="C4" s="4" t="s">
        <v>13</v>
      </c>
    </row>
    <row r="6" customFormat="false" ht="15" hidden="false" customHeight="false" outlineLevel="0" collapsed="false">
      <c r="A6" s="3" t="s">
        <v>14</v>
      </c>
    </row>
    <row r="7" customFormat="false" ht="15" hidden="false" customHeight="false" outlineLevel="0" collapsed="false">
      <c r="A7" s="4" t="s">
        <v>15</v>
      </c>
      <c r="B7" s="5" t="n">
        <v>0</v>
      </c>
      <c r="C7" s="4" t="s">
        <v>16</v>
      </c>
    </row>
    <row r="8" customFormat="false" ht="15" hidden="false" customHeight="false" outlineLevel="0" collapsed="false">
      <c r="A8" s="4" t="s">
        <v>17</v>
      </c>
      <c r="B8" s="5" t="n">
        <v>0</v>
      </c>
      <c r="C8" s="4" t="s">
        <v>18</v>
      </c>
    </row>
    <row r="9" customFormat="false" ht="15" hidden="false" customHeight="false" outlineLevel="0" collapsed="false">
      <c r="A9" s="4" t="s">
        <v>19</v>
      </c>
      <c r="B9" s="5" t="n">
        <v>0</v>
      </c>
      <c r="C9" s="4" t="s">
        <v>20</v>
      </c>
    </row>
    <row r="10" customFormat="false" ht="15" hidden="false" customHeight="false" outlineLevel="0" collapsed="false">
      <c r="A10" s="6" t="s">
        <v>21</v>
      </c>
      <c r="B10" s="7" t="n">
        <f aca="false">SUM(B4:B9)</f>
        <v>148220.6</v>
      </c>
    </row>
    <row r="12" customFormat="false" ht="15" hidden="false" customHeight="false" outlineLevel="0" collapsed="false">
      <c r="A12" s="3" t="s">
        <v>22</v>
      </c>
    </row>
    <row r="13" customFormat="false" ht="15" hidden="false" customHeight="false" outlineLevel="0" collapsed="false">
      <c r="A13" s="4" t="s">
        <v>23</v>
      </c>
      <c r="B13" s="5" t="n">
        <v>20140</v>
      </c>
      <c r="C13" s="4" t="s">
        <v>24</v>
      </c>
    </row>
    <row r="14" customFormat="false" ht="15" hidden="false" customHeight="false" outlineLevel="0" collapsed="false">
      <c r="A14" s="4" t="s">
        <v>25</v>
      </c>
      <c r="B14" s="5" t="n">
        <v>1615</v>
      </c>
      <c r="C14" s="4" t="s">
        <v>24</v>
      </c>
    </row>
    <row r="15" customFormat="false" ht="15" hidden="false" customHeight="false" outlineLevel="0" collapsed="false">
      <c r="A15" s="6" t="s">
        <v>26</v>
      </c>
      <c r="B15" s="7" t="n">
        <f aca="false">SUM(B13:B14)</f>
        <v>21755</v>
      </c>
    </row>
    <row r="17" customFormat="false" ht="15" hidden="false" customHeight="false" outlineLevel="0" collapsed="false">
      <c r="A17" s="3" t="s">
        <v>27</v>
      </c>
    </row>
    <row r="18" customFormat="false" ht="15" hidden="false" customHeight="false" outlineLevel="0" collapsed="false">
      <c r="A18" s="6" t="s">
        <v>28</v>
      </c>
      <c r="B18" s="7" t="n">
        <f aca="false">B10+B15</f>
        <v>169975.6</v>
      </c>
    </row>
    <row r="19" customFormat="false" ht="15" hidden="false" customHeight="false" outlineLevel="0" collapsed="false">
      <c r="A19" s="4" t="s">
        <v>29</v>
      </c>
      <c r="B19" s="5" t="n">
        <v>169975.6</v>
      </c>
    </row>
    <row r="20" customFormat="false" ht="15" hidden="false" customHeight="false" outlineLevel="0" collapsed="false">
      <c r="A20" s="4" t="s">
        <v>30</v>
      </c>
      <c r="B20" s="8" t="n">
        <f aca="false">B18-B19</f>
        <v>0</v>
      </c>
    </row>
    <row r="22" customFormat="false" ht="15" hidden="false" customHeight="false" outlineLevel="0" collapsed="false">
      <c r="A22" s="3" t="s">
        <v>31</v>
      </c>
    </row>
    <row r="23" customFormat="false" ht="48" hidden="false" customHeight="true" outlineLevel="0" collapsed="false">
      <c r="A23" s="9" t="s">
        <v>32</v>
      </c>
      <c r="B23" s="9"/>
      <c r="C23" s="9"/>
    </row>
  </sheetData>
  <mergeCells count="1"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11"/>
  </cols>
  <sheetData>
    <row r="1" customFormat="false" ht="17.35" hidden="false" customHeight="false" outlineLevel="0" collapsed="false">
      <c r="A1" s="1" t="s">
        <v>33</v>
      </c>
    </row>
    <row r="2" customFormat="false" ht="30" hidden="false" customHeight="true" outlineLevel="0" collapsed="false">
      <c r="A2" s="10" t="s">
        <v>34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customFormat="false" ht="15" hidden="false" customHeight="false" outlineLevel="0" collapsed="false">
      <c r="A4" s="11" t="s">
        <v>35</v>
      </c>
      <c r="B4" s="12" t="s">
        <v>36</v>
      </c>
      <c r="C4" s="12" t="s">
        <v>37</v>
      </c>
      <c r="D4" s="12" t="s">
        <v>38</v>
      </c>
      <c r="E4" s="12" t="s">
        <v>39</v>
      </c>
      <c r="F4" s="12" t="s">
        <v>40</v>
      </c>
      <c r="G4" s="12" t="s">
        <v>41</v>
      </c>
      <c r="H4" s="12" t="s">
        <v>42</v>
      </c>
      <c r="I4" s="12" t="s">
        <v>43</v>
      </c>
      <c r="J4" s="12" t="s">
        <v>44</v>
      </c>
      <c r="K4" s="12" t="s">
        <v>45</v>
      </c>
      <c r="L4" s="12" t="s">
        <v>46</v>
      </c>
      <c r="M4" s="12" t="s">
        <v>47</v>
      </c>
    </row>
    <row r="5" customFormat="false" ht="15" hidden="false" customHeight="false" outlineLevel="0" collapsed="false">
      <c r="A5" s="4" t="s">
        <v>48</v>
      </c>
      <c r="B5" s="5" t="n">
        <v>1200</v>
      </c>
      <c r="C5" s="5" t="n">
        <v>900</v>
      </c>
      <c r="D5" s="5" t="n">
        <v>1800</v>
      </c>
      <c r="E5" s="5" t="n">
        <v>1500</v>
      </c>
      <c r="F5" s="5" t="n">
        <v>2400</v>
      </c>
      <c r="G5" s="5" t="n">
        <v>1650</v>
      </c>
      <c r="H5" s="5" t="n">
        <v>1200</v>
      </c>
      <c r="I5" s="5" t="n">
        <v>3200</v>
      </c>
      <c r="J5" s="5" t="n">
        <v>1450</v>
      </c>
      <c r="K5" s="5" t="n">
        <v>1100</v>
      </c>
      <c r="L5" s="5" t="n">
        <v>1240</v>
      </c>
      <c r="M5" s="5" t="n">
        <v>2500</v>
      </c>
    </row>
    <row r="6" customFormat="false" ht="15" hidden="false" customHeight="false" outlineLevel="0" collapsed="false">
      <c r="A6" s="4" t="s">
        <v>49</v>
      </c>
      <c r="B6" s="8" t="n">
        <f aca="false">SUM($B$5:B5)</f>
        <v>1200</v>
      </c>
      <c r="C6" s="8" t="n">
        <f aca="false">SUM($B$5:C5)</f>
        <v>2100</v>
      </c>
      <c r="D6" s="8" t="n">
        <f aca="false">SUM($B$5:D5)</f>
        <v>3900</v>
      </c>
      <c r="E6" s="8" t="n">
        <f aca="false">SUM($B$5:E5)</f>
        <v>5400</v>
      </c>
      <c r="F6" s="8" t="n">
        <f aca="false">SUM($B$5:F5)</f>
        <v>7800</v>
      </c>
      <c r="G6" s="8" t="n">
        <f aca="false">SUM($B$5:G5)</f>
        <v>9450</v>
      </c>
      <c r="H6" s="8" t="n">
        <f aca="false">SUM($B$5:H5)</f>
        <v>10650</v>
      </c>
      <c r="I6" s="8" t="n">
        <f aca="false">SUM($B$5:I5)</f>
        <v>13850</v>
      </c>
      <c r="J6" s="8" t="n">
        <f aca="false">SUM($B$5:J5)</f>
        <v>15300</v>
      </c>
      <c r="K6" s="8" t="n">
        <f aca="false">SUM($B$5:K5)</f>
        <v>16400</v>
      </c>
      <c r="L6" s="8" t="n">
        <f aca="false">SUM($B$5:L5)</f>
        <v>17640</v>
      </c>
      <c r="M6" s="8" t="n">
        <f aca="false">SUM($B$5:M5)</f>
        <v>20140</v>
      </c>
    </row>
    <row r="7" customFormat="false" ht="15" hidden="false" customHeight="false" outlineLevel="0" collapsed="false">
      <c r="A7" s="4" t="s">
        <v>50</v>
      </c>
      <c r="B7" s="13" t="s">
        <v>51</v>
      </c>
      <c r="C7" s="13" t="s">
        <v>51</v>
      </c>
      <c r="D7" s="13" t="s">
        <v>51</v>
      </c>
      <c r="E7" s="13" t="s">
        <v>51</v>
      </c>
      <c r="F7" s="13" t="s">
        <v>51</v>
      </c>
      <c r="G7" s="13" t="s">
        <v>51</v>
      </c>
      <c r="H7" s="13" t="s">
        <v>51</v>
      </c>
      <c r="I7" s="13" t="s">
        <v>51</v>
      </c>
      <c r="J7" s="13" t="s">
        <v>51</v>
      </c>
      <c r="K7" s="13" t="s">
        <v>51</v>
      </c>
      <c r="L7" s="13" t="s">
        <v>51</v>
      </c>
      <c r="M7" s="13" t="s">
        <v>51</v>
      </c>
    </row>
    <row r="9" customFormat="false" ht="15" hidden="false" customHeight="false" outlineLevel="0" collapsed="false">
      <c r="A9" s="11" t="s">
        <v>52</v>
      </c>
    </row>
    <row r="10" customFormat="false" ht="15" hidden="false" customHeight="false" outlineLevel="0" collapsed="false">
      <c r="A10" s="4" t="s">
        <v>53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1615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</row>
    <row r="11" customFormat="false" ht="15" hidden="false" customHeight="false" outlineLevel="0" collapsed="false">
      <c r="A11" s="4" t="s">
        <v>54</v>
      </c>
      <c r="B11" s="14" t="s">
        <v>55</v>
      </c>
      <c r="C11" s="14" t="s">
        <v>55</v>
      </c>
      <c r="D11" s="14" t="s">
        <v>55</v>
      </c>
      <c r="E11" s="14" t="s">
        <v>55</v>
      </c>
      <c r="F11" s="14" t="s">
        <v>55</v>
      </c>
      <c r="G11" s="14" t="s">
        <v>56</v>
      </c>
      <c r="H11" s="14" t="s">
        <v>55</v>
      </c>
      <c r="I11" s="14" t="s">
        <v>55</v>
      </c>
      <c r="J11" s="14" t="s">
        <v>55</v>
      </c>
      <c r="K11" s="14" t="s">
        <v>55</v>
      </c>
      <c r="L11" s="14" t="s">
        <v>55</v>
      </c>
      <c r="M11" s="14" t="s">
        <v>55</v>
      </c>
    </row>
    <row r="13" customFormat="false" ht="15" hidden="false" customHeight="false" outlineLevel="0" collapsed="false">
      <c r="A13" s="3" t="s">
        <v>57</v>
      </c>
    </row>
    <row r="14" customFormat="false" ht="15" hidden="false" customHeight="false" outlineLevel="0" collapsed="false">
      <c r="A14" s="4" t="s">
        <v>58</v>
      </c>
      <c r="B14" s="8" t="n">
        <f aca="false">SUM(B5:M5)</f>
        <v>20140</v>
      </c>
    </row>
    <row r="15" customFormat="false" ht="15" hidden="false" customHeight="false" outlineLevel="0" collapsed="false">
      <c r="A15" s="4" t="s">
        <v>59</v>
      </c>
      <c r="B15" s="5" t="n">
        <v>20140</v>
      </c>
    </row>
    <row r="16" customFormat="false" ht="15" hidden="false" customHeight="false" outlineLevel="0" collapsed="false">
      <c r="A16" s="4" t="s">
        <v>60</v>
      </c>
      <c r="B16" s="8" t="n">
        <f aca="false">B14-B15</f>
        <v>0</v>
      </c>
    </row>
  </sheetData>
  <mergeCells count="1"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61</v>
      </c>
    </row>
    <row r="3" customFormat="false" ht="15" hidden="false" customHeight="false" outlineLevel="0" collapsed="false">
      <c r="B3" s="12" t="s">
        <v>62</v>
      </c>
      <c r="C3" s="12" t="s">
        <v>63</v>
      </c>
      <c r="D3" s="12" t="s">
        <v>64</v>
      </c>
      <c r="E3" s="12" t="s">
        <v>65</v>
      </c>
      <c r="F3" s="11" t="s">
        <v>66</v>
      </c>
    </row>
    <row r="4" customFormat="false" ht="15" hidden="false" customHeight="false" outlineLevel="0" collapsed="false">
      <c r="A4" s="4" t="s">
        <v>67</v>
      </c>
      <c r="B4" s="5" t="n">
        <v>280000</v>
      </c>
      <c r="C4" s="5" t="n">
        <v>322000</v>
      </c>
      <c r="D4" s="5" t="n">
        <v>308000</v>
      </c>
      <c r="E4" s="5" t="n">
        <v>490000</v>
      </c>
      <c r="F4" s="7" t="n">
        <f aca="false">SUM(B4:E4)</f>
        <v>1400000</v>
      </c>
    </row>
    <row r="5" customFormat="false" ht="15" hidden="false" customHeight="false" outlineLevel="0" collapsed="false">
      <c r="A5" s="4" t="s">
        <v>68</v>
      </c>
      <c r="B5" s="15" t="n">
        <f aca="false">B4/$F$4</f>
        <v>0.2</v>
      </c>
      <c r="C5" s="15" t="n">
        <f aca="false">C4/$F$4</f>
        <v>0.23</v>
      </c>
      <c r="D5" s="15" t="n">
        <f aca="false">D4/$F$4</f>
        <v>0.22</v>
      </c>
      <c r="E5" s="15" t="n">
        <f aca="false">E4/$F$4</f>
        <v>0.35</v>
      </c>
    </row>
    <row r="7" customFormat="false" ht="15" hidden="false" customHeight="false" outlineLevel="0" collapsed="false">
      <c r="A7" s="4" t="s">
        <v>69</v>
      </c>
      <c r="B7" s="16" t="n">
        <v>0.47</v>
      </c>
      <c r="C7" s="16" t="n">
        <v>0.5</v>
      </c>
      <c r="D7" s="16" t="n">
        <v>0.51</v>
      </c>
      <c r="E7" s="16" t="n">
        <v>0.53</v>
      </c>
    </row>
    <row r="8" customFormat="false" ht="15" hidden="false" customHeight="false" outlineLevel="0" collapsed="false">
      <c r="A8" s="4" t="s">
        <v>70</v>
      </c>
      <c r="B8" s="8" t="n">
        <f aca="false">B4*B7</f>
        <v>131600</v>
      </c>
      <c r="C8" s="8" t="n">
        <f aca="false">C4*C7</f>
        <v>161000</v>
      </c>
      <c r="D8" s="8" t="n">
        <f aca="false">D4*D7</f>
        <v>157080</v>
      </c>
      <c r="E8" s="8" t="n">
        <f aca="false">E4*E7</f>
        <v>259700</v>
      </c>
      <c r="F8" s="7" t="n">
        <f aca="false">SUM(B8:E8)</f>
        <v>709380</v>
      </c>
    </row>
    <row r="10" customFormat="false" ht="15" hidden="false" customHeight="false" outlineLevel="0" collapsed="false">
      <c r="A10" s="4" t="s">
        <v>71</v>
      </c>
      <c r="B10" s="15" t="n">
        <f aca="false">F8/F4</f>
        <v>0.5067</v>
      </c>
    </row>
    <row r="12" customFormat="false" ht="15" hidden="false" customHeight="false" outlineLevel="0" collapsed="false">
      <c r="A12" s="3" t="s">
        <v>72</v>
      </c>
    </row>
    <row r="13" customFormat="false" ht="48" hidden="false" customHeight="true" outlineLevel="0" collapsed="false">
      <c r="A13" s="17" t="s">
        <v>73</v>
      </c>
      <c r="B13" s="17"/>
      <c r="C13" s="17"/>
      <c r="D13" s="17"/>
      <c r="E13" s="17"/>
      <c r="F13" s="17"/>
    </row>
  </sheetData>
  <mergeCells count="1"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11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74</v>
      </c>
    </row>
    <row r="3" customFormat="false" ht="15" hidden="false" customHeight="false" outlineLevel="0" collapsed="false">
      <c r="B3" s="12" t="s">
        <v>36</v>
      </c>
      <c r="C3" s="12" t="s">
        <v>37</v>
      </c>
      <c r="D3" s="12" t="s">
        <v>38</v>
      </c>
      <c r="E3" s="12" t="s">
        <v>39</v>
      </c>
      <c r="F3" s="12" t="s">
        <v>40</v>
      </c>
      <c r="G3" s="12" t="s">
        <v>41</v>
      </c>
      <c r="H3" s="12" t="s">
        <v>42</v>
      </c>
      <c r="I3" s="12" t="s">
        <v>43</v>
      </c>
      <c r="J3" s="12" t="s">
        <v>44</v>
      </c>
      <c r="K3" s="12" t="s">
        <v>45</v>
      </c>
      <c r="L3" s="12" t="s">
        <v>46</v>
      </c>
      <c r="M3" s="12" t="s">
        <v>47</v>
      </c>
      <c r="N3" s="11" t="s">
        <v>75</v>
      </c>
    </row>
    <row r="4" customFormat="false" ht="15" hidden="false" customHeight="false" outlineLevel="0" collapsed="false">
      <c r="A4" s="4" t="s">
        <v>76</v>
      </c>
      <c r="B4" s="5" t="n">
        <v>4200</v>
      </c>
      <c r="C4" s="5" t="n">
        <v>3800</v>
      </c>
      <c r="D4" s="5" t="n">
        <v>5100</v>
      </c>
      <c r="E4" s="5" t="n">
        <v>6200</v>
      </c>
      <c r="F4" s="5" t="n">
        <v>7400</v>
      </c>
      <c r="G4" s="5" t="n">
        <v>8100</v>
      </c>
      <c r="H4" s="5" t="n">
        <v>6900</v>
      </c>
      <c r="I4" s="5" t="n">
        <v>5600</v>
      </c>
      <c r="J4" s="5" t="n">
        <v>6300</v>
      </c>
      <c r="K4" s="5" t="n">
        <v>9800</v>
      </c>
      <c r="L4" s="5" t="n">
        <v>12400</v>
      </c>
      <c r="M4" s="5" t="n">
        <v>7100</v>
      </c>
    </row>
    <row r="5" customFormat="false" ht="15" hidden="false" customHeight="false" outlineLevel="0" collapsed="false">
      <c r="A5" s="4" t="s">
        <v>77</v>
      </c>
      <c r="B5" s="5" t="n">
        <v>142000</v>
      </c>
      <c r="C5" s="5" t="n">
        <v>138000</v>
      </c>
      <c r="D5" s="5" t="n">
        <v>133000</v>
      </c>
      <c r="E5" s="5" t="n">
        <v>137000</v>
      </c>
      <c r="F5" s="5" t="n">
        <v>145000</v>
      </c>
      <c r="G5" s="5" t="n">
        <v>150000</v>
      </c>
      <c r="H5" s="5" t="n">
        <v>148000</v>
      </c>
      <c r="I5" s="5" t="n">
        <v>152000</v>
      </c>
      <c r="J5" s="5" t="n">
        <v>161000</v>
      </c>
      <c r="K5" s="5" t="n">
        <v>178000</v>
      </c>
      <c r="L5" s="5" t="n">
        <v>186000</v>
      </c>
      <c r="M5" s="5" t="n">
        <v>151000</v>
      </c>
    </row>
    <row r="6" customFormat="false" ht="15" hidden="false" customHeight="false" outlineLevel="0" collapsed="false">
      <c r="A6" s="4" t="s">
        <v>78</v>
      </c>
      <c r="B6" s="5" t="n">
        <v>38000</v>
      </c>
      <c r="C6" s="5" t="n">
        <v>35000</v>
      </c>
      <c r="D6" s="5" t="n">
        <v>33000</v>
      </c>
      <c r="E6" s="5" t="n">
        <v>36000</v>
      </c>
      <c r="F6" s="5" t="n">
        <v>41000</v>
      </c>
      <c r="G6" s="5" t="n">
        <v>44000</v>
      </c>
      <c r="H6" s="5" t="n">
        <v>42000</v>
      </c>
      <c r="I6" s="5" t="n">
        <v>45000</v>
      </c>
      <c r="J6" s="5" t="n">
        <v>52000</v>
      </c>
      <c r="K6" s="5" t="n">
        <v>61000</v>
      </c>
      <c r="L6" s="5" t="n">
        <v>58000</v>
      </c>
      <c r="M6" s="5" t="n">
        <v>40000</v>
      </c>
    </row>
    <row r="8" customFormat="false" ht="15" hidden="false" customHeight="false" outlineLevel="0" collapsed="false">
      <c r="A8" s="6" t="s">
        <v>79</v>
      </c>
      <c r="B8" s="7" t="n">
        <f aca="false">B4+B5-B6</f>
        <v>108200</v>
      </c>
      <c r="C8" s="7" t="n">
        <f aca="false">C4+C5-C6</f>
        <v>106800</v>
      </c>
      <c r="D8" s="7" t="n">
        <f aca="false">D4+D5-D6</f>
        <v>105100</v>
      </c>
      <c r="E8" s="7" t="n">
        <f aca="false">E4+E5-E6</f>
        <v>107200</v>
      </c>
      <c r="F8" s="7" t="n">
        <f aca="false">F4+F5-F6</f>
        <v>111400</v>
      </c>
      <c r="G8" s="7" t="n">
        <f aca="false">G4+G5-G6</f>
        <v>114100</v>
      </c>
      <c r="H8" s="7" t="n">
        <f aca="false">H4+H5-H6</f>
        <v>112900</v>
      </c>
      <c r="I8" s="7" t="n">
        <f aca="false">I4+I5-I6</f>
        <v>112600</v>
      </c>
      <c r="J8" s="7" t="n">
        <f aca="false">J4+J5-J6</f>
        <v>115300</v>
      </c>
      <c r="K8" s="7" t="n">
        <f aca="false">K4+K5-K6</f>
        <v>126800</v>
      </c>
      <c r="L8" s="7" t="n">
        <f aca="false">L4+L5-L6</f>
        <v>140400</v>
      </c>
      <c r="M8" s="7" t="n">
        <f aca="false">M4+M5-M6</f>
        <v>118100</v>
      </c>
    </row>
    <row r="10" customFormat="false" ht="15" hidden="false" customHeight="false" outlineLevel="0" collapsed="false">
      <c r="A10" s="3" t="s">
        <v>80</v>
      </c>
    </row>
    <row r="11" customFormat="false" ht="15" hidden="false" customHeight="false" outlineLevel="0" collapsed="false">
      <c r="A11" s="4" t="s">
        <v>81</v>
      </c>
      <c r="B11" s="8" t="n">
        <f aca="false">AVERAGE(B8:M8)</f>
        <v>114908.333333333</v>
      </c>
    </row>
    <row r="12" customFormat="false" ht="15" hidden="false" customHeight="false" outlineLevel="0" collapsed="false">
      <c r="A12" s="4" t="s">
        <v>82</v>
      </c>
      <c r="B12" s="8" t="n">
        <f aca="false">M8</f>
        <v>118100</v>
      </c>
    </row>
    <row r="13" customFormat="false" ht="15" hidden="false" customHeight="false" outlineLevel="0" collapsed="false">
      <c r="A13" s="6" t="s">
        <v>83</v>
      </c>
      <c r="B13" s="7" t="n">
        <f aca="false">B11</f>
        <v>114908.333333333</v>
      </c>
    </row>
    <row r="14" customFormat="false" ht="15" hidden="false" customHeight="false" outlineLevel="0" collapsed="false">
      <c r="A14" s="4" t="s">
        <v>84</v>
      </c>
      <c r="B14" s="8" t="n">
        <f aca="false">B12-B13</f>
        <v>3191.66666666667</v>
      </c>
    </row>
    <row r="15" customFormat="false" ht="15" hidden="false" customHeight="false" outlineLevel="0" collapsed="false">
      <c r="A15" s="4" t="s">
        <v>85</v>
      </c>
      <c r="B15" s="8" t="n">
        <f aca="false">B14</f>
        <v>3191.66666666667</v>
      </c>
    </row>
    <row r="17" customFormat="false" ht="15" hidden="false" customHeight="false" outlineLevel="0" collapsed="false">
      <c r="A17" s="3" t="s">
        <v>72</v>
      </c>
    </row>
    <row r="18" customFormat="false" ht="48" hidden="false" customHeight="true" outlineLevel="0" collapsed="false">
      <c r="A18" s="17" t="s">
        <v>86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</sheetData>
  <mergeCells count="1">
    <mergeCell ref="A18:N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87</v>
      </c>
    </row>
    <row r="3" customFormat="false" ht="35.05" hidden="false" customHeight="false" outlineLevel="0" collapsed="false">
      <c r="A3" s="2" t="s">
        <v>88</v>
      </c>
    </row>
    <row r="4" customFormat="false" ht="15" hidden="false" customHeight="false" outlineLevel="0" collapsed="false">
      <c r="A4" s="2"/>
    </row>
    <row r="5" customFormat="false" ht="35.05" hidden="false" customHeight="false" outlineLevel="0" collapsed="false">
      <c r="A5" s="2" t="s">
        <v>89</v>
      </c>
    </row>
    <row r="6" customFormat="false" ht="15" hidden="false" customHeight="false" outlineLevel="0" collapsed="false">
      <c r="A6" s="2"/>
    </row>
    <row r="7" customFormat="false" ht="46.25" hidden="false" customHeight="false" outlineLevel="0" collapsed="false">
      <c r="A7" s="2" t="s">
        <v>90</v>
      </c>
    </row>
    <row r="8" customFormat="false" ht="15" hidden="false" customHeight="false" outlineLevel="0" collapsed="false">
      <c r="A8" s="2"/>
    </row>
    <row r="9" customFormat="false" ht="46.25" hidden="false" customHeight="false" outlineLevel="0" collapsed="false">
      <c r="A9" s="2" t="s">
        <v>91</v>
      </c>
    </row>
    <row r="10" customFormat="false" ht="15" hidden="false" customHeight="false" outlineLevel="0" collapsed="false">
      <c r="A10" s="2"/>
    </row>
    <row r="11" customFormat="false" ht="35.05" hidden="false" customHeight="false" outlineLevel="0" collapsed="false">
      <c r="A11" s="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2026-09-20T15:24:18Z</dcterms:created>
  <dc:creator>openpyxl</dc:creator>
  <dc:description/>
  <dc:language>en-US</dc:language>
  <cp:lastModifiedBy/>
  <dcterms:modified xsi:type="dcterms:W3CDTF">2026-09-20T15:24:18Z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