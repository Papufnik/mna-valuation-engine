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ources &amp; Uses" sheetId="2" state="visible" r:id="rId4"/>
    <sheet name="Operating Model" sheetId="3" state="visible" r:id="rId5"/>
    <sheet name="Debt Schedule" sheetId="4" state="visible" r:id="rId6"/>
    <sheet name="Returns Analysis" sheetId="5" state="visible" r:id="rId7"/>
    <sheet name="Notes &amp; Limit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build_lbo_model.py</author>
  </authors>
  <commentList>
    <comment ref="B4" authorId="0">
      <text>
        <r>
          <rPr>
            <sz val="10"/>
            <rFont val="Arial"/>
            <family val="2"/>
          </rPr>
          <t xml:space="preserve">Source: mna_valuation_engine.py demo output, recastSDE field. Same illustrative deal this repo's sell-side valuation values.</t>
        </r>
      </text>
    </comment>
    <comment ref="B5" authorId="0">
      <text>
        <r>
          <rPr>
            <sz val="10"/>
            <rFont val="Arial"/>
            <family val="2"/>
          </rPr>
          <t xml:space="preserve">Matches mna_valuation_engine.py's own base-case multiple -- the buyer underwrites the same price the sell-side model produced.</t>
        </r>
      </text>
    </comment>
    <comment ref="B7" authorId="0">
      <text>
        <r>
          <rPr>
            <sz val="10"/>
            <rFont val="Arial"/>
            <family val="2"/>
          </rPr>
          <t xml:space="preserve">Illustrative -- SBA guaranty fee, legal, and diligence/QoE costs for a deal this size. Confirm actual quotes before relying on this.</t>
        </r>
      </text>
    </comment>
    <comment ref="B13" authorId="0">
      <text>
        <r>
          <rPr>
            <sz val="10"/>
            <rFont val="Arial"/>
            <family val="2"/>
          </rPr>
          <t xml:space="preserve">Set at the SBA's minimum required equity injection for a change-of-ownership 7(a) loan -- illustrative, confirm the current SBA SOP before relying on this for a real deal.</t>
        </r>
      </text>
    </comment>
    <comment ref="B17" authorId="0">
      <text>
        <r>
          <rPr>
            <sz val="10"/>
            <rFont val="Arial"/>
            <family val="2"/>
          </rPr>
          <t xml:space="preserve">Illustrative Prime + lender spread, Q3 2026 ballpark. Confirm current WSJ Prime + spread before using in a real model.</t>
        </r>
      </text>
    </comment>
    <comment ref="B24" authorId="0">
      <text>
        <r>
          <rPr>
            <sz val="10"/>
            <rFont val="Arial"/>
            <family val="2"/>
          </rPr>
          <t xml:space="preserve">Illustrative -- specialty retail/hybrid revenue consistent with a ~12% SDE margin at this deal size.</t>
        </r>
      </text>
    </comment>
    <comment ref="B27" authorId="0">
      <text>
        <r>
          <rPr>
            <sz val="10"/>
            <rFont val="Arial"/>
            <family val="2"/>
          </rPr>
          <t xml:space="preserve">Illustrative post-close operational tightening -- the standard small-cap PE value-creation lever (systems, purchasing, labor scheduling). Not assumed in Years 1-2 (integration period).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build_lbo_model.py</author>
  </authors>
  <commentList>
    <comment ref="C17" authorId="0">
      <text>
        <r>
          <rPr>
            <sz val="10"/>
            <rFont val="Arial"/>
            <family val="2"/>
          </rPr>
          <t xml:space="preserve">Standby period -- interest-only, Years 1-2.</t>
        </r>
      </text>
    </comment>
    <comment ref="C24" authorId="0">
      <text>
        <r>
          <rPr>
            <sz val="10"/>
            <rFont val="Arial"/>
            <family val="2"/>
          </rPr>
          <t xml:space="preserve">Illustrative -- SBA/small-business lenders typically require a minimum DSCR around 1.15x-1.25x. Confirm actual covenant with the specific lender before relying on this.</t>
        </r>
      </text>
    </comment>
    <comment ref="D24" authorId="0">
      <text>
        <r>
          <rPr>
            <sz val="10"/>
            <rFont val="Arial"/>
            <family val="2"/>
          </rPr>
          <t xml:space="preserve">Illustrative -- SBA/small-business lenders typically require a minimum DSCR around 1.15x-1.25x. Confirm actual covenant with the specific lender before relying on this.</t>
        </r>
      </text>
    </comment>
    <comment ref="E24" authorId="0">
      <text>
        <r>
          <rPr>
            <sz val="10"/>
            <rFont val="Arial"/>
            <family val="2"/>
          </rPr>
          <t xml:space="preserve">Illustrative -- SBA/small-business lenders typically require a minimum DSCR around 1.15x-1.25x. Confirm actual covenant with the specific lender before relying on this.</t>
        </r>
      </text>
    </comment>
    <comment ref="F24" authorId="0">
      <text>
        <r>
          <rPr>
            <sz val="10"/>
            <rFont val="Arial"/>
            <family val="2"/>
          </rPr>
          <t xml:space="preserve">Illustrative -- SBA/small-business lenders typically require a minimum DSCR around 1.15x-1.25x. Confirm actual covenant with the specific lender before relying on this.</t>
        </r>
      </text>
    </comment>
    <comment ref="G24" authorId="0">
      <text>
        <r>
          <rPr>
            <sz val="10"/>
            <rFont val="Arial"/>
            <family val="2"/>
          </rPr>
          <t xml:space="preserve">Illustrative -- SBA/small-business lenders typically require a minimum DSCR around 1.15x-1.25x. Confirm actual covenant with the specific lender before relying on this.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build_lbo_model.py</author>
  </authors>
  <commentList>
    <comment ref="B12" authorId="0">
      <text>
        <r>
          <rPr>
            <sz val="10"/>
            <rFont val="Arial"/>
            <family val="2"/>
          </rPr>
          <t xml:space="preserve">Exact for this cash flow profile (one outflow at close, one inflow at exit, nothing in between): IRR = MOIC^(1/years) - 1.</t>
        </r>
      </text>
    </comment>
  </commentList>
</comments>
</file>

<file path=xl/sharedStrings.xml><?xml version="1.0" encoding="utf-8"?>
<sst xmlns="http://schemas.openxmlformats.org/spreadsheetml/2006/main" count="106" uniqueCount="93">
  <si>
    <t xml:space="preserve">LBO / Acquisition Financing Model -- Key Assumptions</t>
  </si>
  <si>
    <t xml:space="preserve">Deal Assumptions</t>
  </si>
  <si>
    <t xml:space="preserve">Entry Year 0 SDE (recast, from mna_valuation_engine.py)</t>
  </si>
  <si>
    <t xml:space="preserve">Entry Multiple (x Entry SDE)</t>
  </si>
  <si>
    <t xml:space="preserve">Purchase Price (Enterprise Value)</t>
  </si>
  <si>
    <t xml:space="preserve">Estimated Transaction &amp; Closing Costs</t>
  </si>
  <si>
    <t xml:space="preserve">Total Uses</t>
  </si>
  <si>
    <t xml:space="preserve">Capital Structure (% of Total Uses)</t>
  </si>
  <si>
    <t xml:space="preserve">SBA 7(a) Term Loan %</t>
  </si>
  <si>
    <t xml:space="preserve">Seller Note %</t>
  </si>
  <si>
    <t xml:space="preserve">Sponsor Equity %</t>
  </si>
  <si>
    <t xml:space="preserve">Check (should equal 100.0%)</t>
  </si>
  <si>
    <t xml:space="preserve">Debt Terms</t>
  </si>
  <si>
    <t xml:space="preserve">SBA 7(a) Rate (illustrative variable)</t>
  </si>
  <si>
    <t xml:space="preserve">SBA 7(a) Term (years)</t>
  </si>
  <si>
    <t xml:space="preserve">Seller Note Rate</t>
  </si>
  <si>
    <t xml:space="preserve">Seller Note Standby Period (yrs, interest-only)</t>
  </si>
  <si>
    <t xml:space="preserve">Seller Note Total Term (years)</t>
  </si>
  <si>
    <t xml:space="preserve">Operating Assumptions</t>
  </si>
  <si>
    <t xml:space="preserve">Year 0 (LTM) Revenue</t>
  </si>
  <si>
    <t xml:space="preserve">Year 0 SDE Margin</t>
  </si>
  <si>
    <t xml:space="preserve">Annual Revenue Growth</t>
  </si>
  <si>
    <t xml:space="preserve">Margin Improvement, Years 3-5 (bps/yr)</t>
  </si>
  <si>
    <t xml:space="preserve">Capex (% of Revenue)</t>
  </si>
  <si>
    <t xml:space="preserve">Incremental NWC (% of Revenue Growth $)</t>
  </si>
  <si>
    <t xml:space="preserve">Exit Assumptions</t>
  </si>
  <si>
    <t xml:space="preserve">Base Case Exit Year</t>
  </si>
  <si>
    <t xml:space="preserve">Base Case Exit Multiple (x Exit SDE)</t>
  </si>
  <si>
    <t xml:space="preserve">Sources &amp; Uses</t>
  </si>
  <si>
    <t xml:space="preserve">Uses</t>
  </si>
  <si>
    <t xml:space="preserve">Transaction &amp; Closing Costs</t>
  </si>
  <si>
    <t xml:space="preserve">Sources</t>
  </si>
  <si>
    <t xml:space="preserve">SBA 7(a) Term Loan</t>
  </si>
  <si>
    <t xml:space="preserve">Seller Note</t>
  </si>
  <si>
    <t xml:space="preserve">Sponsor Equity</t>
  </si>
  <si>
    <t xml:space="preserve">Total Sources</t>
  </si>
  <si>
    <t xml:space="preserve">Check (Sources - Uses, should be 0)</t>
  </si>
  <si>
    <t xml:space="preserve">Underwriting Metrics</t>
  </si>
  <si>
    <t xml:space="preserve">Total Debt / Entry SDE</t>
  </si>
  <si>
    <t xml:space="preserve">Sponsor Equity / Total Uses</t>
  </si>
  <si>
    <t xml:space="preserve">Operating Model</t>
  </si>
  <si>
    <t xml:space="preserve">Year index (helper row for lookups)</t>
  </si>
  <si>
    <t xml:space="preserve">Year 0 (LTM)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</si>
  <si>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</si>
  <si>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</si>
  <si>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</si>
  <si>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</si>
  <si>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</si>
  <si>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</si>
  <si>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Revenue Growth %</t>
  </si>
  <si>
    <t xml:space="preserve">SDE / EBITDA Margin %</t>
  </si>
  <si>
    <t xml:space="preserve">SDE / EBITDA ($)</t>
  </si>
  <si>
    <t xml:space="preserve">Less: Capex</t>
  </si>
  <si>
    <t xml:space="preserve">Less: Incremental NWC</t>
  </si>
  <si>
    <t xml:space="preserve">Unlevered Free Cash Flow (pre-debt-service)</t>
  </si>
  <si>
    <t xml:space="preserve">Note: modeled at the pre-tax, pass-through SDE level appropriate for a small-business acquisition, not a full corporate-tax LBO -- see README &gt; Limitations.</t>
  </si>
  <si>
    <t xml:space="preserve">Debt Schedule</t>
  </si>
  <si>
    <t xml:space="preserve">At Close</t>
  </si>
  <si>
    <t xml:space="preserve">Beginning Balance</t>
  </si>
  <si>
    <t xml:space="preserve">Annual Debt Service (level P&amp;I)</t>
  </si>
  <si>
    <t xml:space="preserve">Interest Expense</t>
  </si>
  <si>
    <t xml:space="preserve">Principal Payment</t>
  </si>
  <si>
    <t xml:space="preserve">Ending Balance</t>
  </si>
  <si>
    <t xml:space="preserve">Seller Note (2-yr standby, then amortizes)</t>
  </si>
  <si>
    <t xml:space="preserve">Post-Standby Annual P&amp;I (Yrs 3-5)</t>
  </si>
  <si>
    <t xml:space="preserve">Consolidated Debt Service &amp; Coverage</t>
  </si>
  <si>
    <t xml:space="preserve">Total Debt Service (SBA P&amp;I + Seller Note I+P)</t>
  </si>
  <si>
    <t xml:space="preserve">SDE / EBITDA (from Operating Model)</t>
  </si>
  <si>
    <t xml:space="preserve">DSCR (EBITDA / Total Debt Service)</t>
  </si>
  <si>
    <t xml:space="preserve">Free Cash Flow after Debt Service (to Equity)</t>
  </si>
  <si>
    <t xml:space="preserve">Total Debt Outstanding, End of Year (SBA + Seller Note)</t>
  </si>
  <si>
    <t xml:space="preserve">Returns Analysis</t>
  </si>
  <si>
    <t xml:space="preserve">Base Case Exit</t>
  </si>
  <si>
    <t xml:space="preserve">Exit Year</t>
  </si>
  <si>
    <t xml:space="preserve">Exit Multiple (x SDE)</t>
  </si>
  <si>
    <t xml:space="preserve">Exit Year SDE / EBITDA</t>
  </si>
  <si>
    <t xml:space="preserve">Exit Enterprise Value</t>
  </si>
  <si>
    <t xml:space="preserve">Less: Net Debt at Exit</t>
  </si>
  <si>
    <t xml:space="preserve">Exit Equity Value</t>
  </si>
  <si>
    <t xml:space="preserve">Initial Sponsor Equity</t>
  </si>
  <si>
    <t xml:space="preserve">MOIC</t>
  </si>
  <si>
    <t xml:space="preserve">IRR (single lump-sum exit, no interim distributions)</t>
  </si>
  <si>
    <t xml:space="preserve">Sensitivity: MOIC by Exit Multiple x Exit Year</t>
  </si>
  <si>
    <t xml:space="preserve">Exit Multiple \ Exit Year</t>
  </si>
  <si>
    <t xml:space="preserve">Sensitivity: IRR by Exit Multiple x Exit Year</t>
  </si>
  <si>
    <t xml:space="preserve">Notes &amp; Limitations</t>
  </si>
  <si>
    <t xml:space="preserve">This model works at the pre-tax, pass-through SDE level appropriate for a small-business acquisition -- it does not model corporate income tax, depreciation/amortization schedules, or deferred tax effects.</t>
  </si>
  <si>
    <t xml:space="preserve">No cash sweep or voluntary prepayment is modeled on the SBA loan. Real SBA 7(a) loans commonly carry prepayment penalties in years 1-3 (typically 5%/3%/1% of the prepaid amount), so a cash sweep would need to weigh that cost -- omitted here for simplicity, not because it wouldn't matter.</t>
  </si>
  <si>
    <t xml:space="preserve">The exit calculation assumes a single lump-sum equity distribution at exit with no interim dividends or recapitalizations -- realistic for a buy-and-hold independent-sponsor deal, less realistic for a fund that takes dividend recaps along the way.</t>
  </si>
  <si>
    <t xml:space="preserve">SBA loan rate, sponsor equity %, and transaction cost assumptions are illustrative Q3 2026 ballparks, not sourced from a live SBA SOP or lender term sheet -- flagged individually on the Assumptions tab, consistent with this repo's verified/unverified labeling elsewhere.</t>
  </si>
  <si>
    <t xml:space="preserve">DSCR covenant threshold (1.15x-1.25x cited on the Debt Schedule tab) is a general small-business lending ballpark, not a specific lender's actual covenant -- confirm with the real lender's term sheet before relying on it.</t>
  </si>
  <si>
    <t xml:space="preserve">This is a portfolio project. The deal, business, and dollar figures are illustrative and tie to the same anonymized scenario as mna_valuation_engine.py elsewhere in this repo -- no real business's financial data appears here.</t>
  </si>
  <si>
    <t xml:space="preserve">Base-case MOIC/IRR (see Returns Analysis) run well above a typical institutional LBO. That is a direct, mechanical consequence of the SBA capital structure, not an optimistic growth assumption doing the work: sponsor equity is only ~10% of total uses (the SBA's real minimum injection for a change-of-ownership loan), so the same dollar of EBITDA growth and debt paydown is divided by a much smaller equity base than a traditional 30-40%-equity deal would use. This is the standard economic argument for SBA-financed search-fund and independent-sponsor acquisitions -- small equity checks amplify returns -- and it cuts both ways: the same leverage that produces an 8x+ MOIC here would produce a proportionally larger equity wipeout if SDE declined instead of grew.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</si>
</sst>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0\x"/>
    <numFmt numFmtId="167" formatCode="0.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8B3A4A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B3A4A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169975.6</v>
      </c>
    </row>
    <row r="5" customFormat="false" ht="15" hidden="false" customHeight="false" outlineLevel="0" collapsed="false">
      <c r="A5" s="3" t="s">
        <v>3</v>
      </c>
      <c r="B5" s="5" t="n">
        <v>3</v>
      </c>
    </row>
    <row r="6" customFormat="false" ht="15" hidden="false" customHeight="false" outlineLevel="0" collapsed="false">
      <c r="A6" s="6" t="s">
        <v>4</v>
      </c>
      <c r="B6" s="7" t="n">
        <f aca="false">B4*B5</f>
        <v>509926.8</v>
      </c>
    </row>
    <row r="7" customFormat="false" ht="15" hidden="false" customHeight="false" outlineLevel="0" collapsed="false">
      <c r="A7" s="3" t="s">
        <v>5</v>
      </c>
      <c r="B7" s="4" t="n">
        <v>15000</v>
      </c>
    </row>
    <row r="8" customFormat="false" ht="15" hidden="false" customHeight="false" outlineLevel="0" collapsed="false">
      <c r="A8" s="6" t="s">
        <v>6</v>
      </c>
      <c r="B8" s="7" t="n">
        <f aca="false">B6+B7</f>
        <v>524926.8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  <c r="B11" s="8" t="n">
        <v>0.75</v>
      </c>
    </row>
    <row r="12" customFormat="false" ht="15" hidden="false" customHeight="false" outlineLevel="0" collapsed="false">
      <c r="A12" s="3" t="s">
        <v>9</v>
      </c>
      <c r="B12" s="8" t="n">
        <v>0.15</v>
      </c>
    </row>
    <row r="13" customFormat="false" ht="15" hidden="false" customHeight="false" outlineLevel="0" collapsed="false">
      <c r="A13" s="3" t="s">
        <v>10</v>
      </c>
      <c r="B13" s="8" t="n">
        <v>0.1</v>
      </c>
    </row>
    <row r="14" customFormat="false" ht="15" hidden="false" customHeight="false" outlineLevel="0" collapsed="false">
      <c r="A14" s="3" t="s">
        <v>11</v>
      </c>
      <c r="B14" s="9" t="n">
        <f aca="false">B11+B12+B13</f>
        <v>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3" t="s">
        <v>13</v>
      </c>
      <c r="B17" s="8" t="n">
        <v>0.115</v>
      </c>
    </row>
    <row r="18" customFormat="false" ht="15" hidden="false" customHeight="false" outlineLevel="0" collapsed="false">
      <c r="A18" s="3" t="s">
        <v>14</v>
      </c>
      <c r="B18" s="10" t="n">
        <v>10</v>
      </c>
    </row>
    <row r="19" customFormat="false" ht="15" hidden="false" customHeight="false" outlineLevel="0" collapsed="false">
      <c r="A19" s="3" t="s">
        <v>15</v>
      </c>
      <c r="B19" s="8" t="n">
        <v>0.06</v>
      </c>
    </row>
    <row r="20" customFormat="false" ht="15" hidden="false" customHeight="false" outlineLevel="0" collapsed="false">
      <c r="A20" s="3" t="s">
        <v>16</v>
      </c>
      <c r="B20" s="10" t="n">
        <v>2</v>
      </c>
    </row>
    <row r="21" customFormat="false" ht="15" hidden="false" customHeight="false" outlineLevel="0" collapsed="false">
      <c r="A21" s="3" t="s">
        <v>17</v>
      </c>
      <c r="B21" s="10" t="n">
        <v>5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  <c r="B24" s="4" t="n">
        <v>1400000</v>
      </c>
    </row>
    <row r="25" customFormat="false" ht="15" hidden="false" customHeight="false" outlineLevel="0" collapsed="false">
      <c r="A25" s="3" t="s">
        <v>20</v>
      </c>
      <c r="B25" s="9" t="n">
        <f aca="false">B4/B24</f>
        <v>0.121411142857143</v>
      </c>
    </row>
    <row r="26" customFormat="false" ht="15" hidden="false" customHeight="false" outlineLevel="0" collapsed="false">
      <c r="A26" s="3" t="s">
        <v>21</v>
      </c>
      <c r="B26" s="8" t="n">
        <v>0.04</v>
      </c>
    </row>
    <row r="27" customFormat="false" ht="15" hidden="false" customHeight="false" outlineLevel="0" collapsed="false">
      <c r="A27" s="3" t="s">
        <v>22</v>
      </c>
      <c r="B27" s="8" t="n">
        <v>0.005</v>
      </c>
    </row>
    <row r="28" customFormat="false" ht="15" hidden="false" customHeight="false" outlineLevel="0" collapsed="false">
      <c r="A28" s="3" t="s">
        <v>23</v>
      </c>
      <c r="B28" s="8" t="n">
        <v>0.015</v>
      </c>
    </row>
    <row r="29" customFormat="false" ht="15" hidden="false" customHeight="false" outlineLevel="0" collapsed="false">
      <c r="A29" s="3" t="s">
        <v>24</v>
      </c>
      <c r="B29" s="8" t="n">
        <v>0.1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3" t="s">
        <v>26</v>
      </c>
      <c r="B32" s="10" t="n">
        <v>5</v>
      </c>
    </row>
    <row r="33" customFormat="false" ht="15" hidden="false" customHeight="false" outlineLevel="0" collapsed="false">
      <c r="A33" s="3" t="s">
        <v>27</v>
      </c>
      <c r="B33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29</v>
      </c>
    </row>
    <row r="4" customFormat="false" ht="15" hidden="false" customHeight="false" outlineLevel="0" collapsed="false">
      <c r="A4" s="3" t="s">
        <v>4</v>
      </c>
      <c r="B4" s="11" t="n">
        <f aca="false">Assumptions!B6</f>
        <v>509926.8</v>
      </c>
    </row>
    <row r="5" customFormat="false" ht="15" hidden="false" customHeight="false" outlineLevel="0" collapsed="false">
      <c r="A5" s="3" t="s">
        <v>30</v>
      </c>
      <c r="B5" s="11" t="n">
        <f aca="false">Assumptions!B7</f>
        <v>15000</v>
      </c>
    </row>
    <row r="6" customFormat="false" ht="15" hidden="false" customHeight="false" outlineLevel="0" collapsed="false">
      <c r="A6" s="6" t="s">
        <v>6</v>
      </c>
      <c r="B6" s="7" t="n">
        <f aca="false">SUM(B4:B5)</f>
        <v>524926.8</v>
      </c>
    </row>
    <row r="8" customFormat="false" ht="15" hidden="false" customHeight="false" outlineLevel="0" collapsed="false">
      <c r="A8" s="2" t="s">
        <v>31</v>
      </c>
    </row>
    <row r="9" customFormat="false" ht="15" hidden="false" customHeight="false" outlineLevel="0" collapsed="false">
      <c r="A9" s="3" t="s">
        <v>32</v>
      </c>
      <c r="B9" s="11" t="n">
        <f aca="false">$B$6*Assumptions!B11</f>
        <v>393695.1</v>
      </c>
    </row>
    <row r="10" customFormat="false" ht="15" hidden="false" customHeight="false" outlineLevel="0" collapsed="false">
      <c r="A10" s="3" t="s">
        <v>33</v>
      </c>
      <c r="B10" s="11" t="n">
        <f aca="false">$B$6*Assumptions!B12</f>
        <v>78739.02</v>
      </c>
    </row>
    <row r="11" customFormat="false" ht="15" hidden="false" customHeight="false" outlineLevel="0" collapsed="false">
      <c r="A11" s="3" t="s">
        <v>34</v>
      </c>
      <c r="B11" s="11" t="n">
        <f aca="false">$B$6*Assumptions!B13</f>
        <v>52492.68</v>
      </c>
    </row>
    <row r="12" customFormat="false" ht="15" hidden="false" customHeight="false" outlineLevel="0" collapsed="false">
      <c r="A12" s="6" t="s">
        <v>35</v>
      </c>
      <c r="B12" s="7" t="n">
        <f aca="false">SUM(B9:B11)</f>
        <v>524926.8</v>
      </c>
    </row>
    <row r="13" customFormat="false" ht="15" hidden="false" customHeight="false" outlineLevel="0" collapsed="false">
      <c r="A13" s="3" t="s">
        <v>36</v>
      </c>
      <c r="B13" s="11" t="n">
        <f aca="false">B12-B6</f>
        <v>0</v>
      </c>
    </row>
    <row r="15" customFormat="false" ht="15" hidden="false" customHeight="false" outlineLevel="0" collapsed="false">
      <c r="A15" s="2" t="s">
        <v>37</v>
      </c>
    </row>
    <row r="16" customFormat="false" ht="15" hidden="false" customHeight="false" outlineLevel="0" collapsed="false">
      <c r="A16" s="3" t="s">
        <v>38</v>
      </c>
      <c r="B16" s="12" t="n">
        <f aca="false">(B9+B10)/Assumptions!B4</f>
        <v>2.77942316426593</v>
      </c>
    </row>
    <row r="17" customFormat="false" ht="15" hidden="false" customHeight="false" outlineLevel="0" collapsed="false">
      <c r="A17" s="3" t="s">
        <v>39</v>
      </c>
      <c r="B17" s="9" t="n">
        <f aca="false">B11/B6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3" t="s">
        <v>41</v>
      </c>
      <c r="B2" s="10" t="n">
        <v>0</v>
      </c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</row>
    <row r="3" customFormat="false" ht="15" hidden="false" customHeight="false" outlineLevel="0" collapsed="false">
      <c r="A3" s="13"/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</row>
    <row r="4" customFormat="false" ht="15" hidden="false" customHeight="false" outlineLevel="0" collapsed="false">
      <c r="A4" s="3" t="s">
        <v>48</v>
      </c>
      <c r="B4" s="11" t="n">
        <f aca="false">Assumptions!B24</f>
        <v>1400000</v>
      </c>
      <c r="C4" s="11" t="n">
        <f aca="false">B4*(1+Assumptions!$B$26)</f>
        <v>1456000</v>
      </c>
      <c r="D4" s="11" t="n">
        <f aca="false">C4*(1+Assumptions!$B$26)</f>
        <v>1514240</v>
      </c>
      <c r="E4" s="11" t="n">
        <f aca="false">D4*(1+Assumptions!$B$26)</f>
        <v>1574809.6</v>
      </c>
      <c r="F4" s="11" t="n">
        <f aca="false">E4*(1+Assumptions!$B$26)</f>
        <v>1637801.984</v>
      </c>
      <c r="G4" s="11" t="n">
        <f aca="false">F4*(1+Assumptions!$B$26)</f>
        <v>1703314.06336</v>
      </c>
    </row>
    <row r="5" customFormat="false" ht="15" hidden="false" customHeight="false" outlineLevel="0" collapsed="false">
      <c r="A5" s="3" t="s">
        <v>49</v>
      </c>
      <c r="C5" s="9" t="n">
        <f aca="false">C4/B4-1</f>
        <v>0.04</v>
      </c>
      <c r="D5" s="9" t="n">
        <f aca="false">D4/C4-1</f>
        <v>0.04</v>
      </c>
      <c r="E5" s="9" t="n">
        <f aca="false">E4/D4-1</f>
        <v>0.04</v>
      </c>
      <c r="F5" s="9" t="n">
        <f aca="false">F4/E4-1</f>
        <v>0.04</v>
      </c>
      <c r="G5" s="9" t="n">
        <f aca="false">G4/F4-1</f>
        <v>0.04</v>
      </c>
    </row>
    <row r="6" customFormat="false" ht="15" hidden="false" customHeight="false" outlineLevel="0" collapsed="false">
      <c r="A6" s="3" t="s">
        <v>50</v>
      </c>
      <c r="B6" s="9" t="n">
        <f aca="false">Assumptions!B25</f>
        <v>0.121411142857143</v>
      </c>
      <c r="C6" s="9" t="n">
        <f aca="false">B6</f>
        <v>0.121411142857143</v>
      </c>
      <c r="D6" s="9" t="n">
        <f aca="false">C6</f>
        <v>0.121411142857143</v>
      </c>
      <c r="E6" s="9" t="n">
        <f aca="false">D6+Assumptions!$B$27</f>
        <v>0.126411142857143</v>
      </c>
      <c r="F6" s="9" t="n">
        <f aca="false">E6+Assumptions!$B$27</f>
        <v>0.131411142857143</v>
      </c>
      <c r="G6" s="9" t="n">
        <f aca="false">F6+Assumptions!$B$27</f>
        <v>0.136411142857143</v>
      </c>
    </row>
    <row r="7" customFormat="false" ht="15" hidden="false" customHeight="false" outlineLevel="0" collapsed="false">
      <c r="A7" s="6" t="s">
        <v>51</v>
      </c>
      <c r="B7" s="7" t="n">
        <f aca="false">B4*B6</f>
        <v>169975.6</v>
      </c>
      <c r="C7" s="7" t="n">
        <f aca="false">C4*C6</f>
        <v>176774.624</v>
      </c>
      <c r="D7" s="7" t="n">
        <f aca="false">D4*D6</f>
        <v>183845.60896</v>
      </c>
      <c r="E7" s="7" t="n">
        <f aca="false">E4*E6</f>
        <v>199073.4813184</v>
      </c>
      <c r="F7" s="7" t="n">
        <f aca="false">F4*F6</f>
        <v>215225.430491136</v>
      </c>
      <c r="G7" s="7" t="n">
        <f aca="false">G4*G6</f>
        <v>232351.018027582</v>
      </c>
    </row>
    <row r="9" customFormat="false" ht="15" hidden="false" customHeight="false" outlineLevel="0" collapsed="false">
      <c r="A9" s="3" t="s">
        <v>52</v>
      </c>
      <c r="C9" s="11" t="n">
        <f aca="false">-C4*Assumptions!$B$28</f>
        <v>-21840</v>
      </c>
      <c r="D9" s="11" t="n">
        <f aca="false">-D4*Assumptions!$B$28</f>
        <v>-22713.6</v>
      </c>
      <c r="E9" s="11" t="n">
        <f aca="false">-E4*Assumptions!$B$28</f>
        <v>-23622.144</v>
      </c>
      <c r="F9" s="11" t="n">
        <f aca="false">-F4*Assumptions!$B$28</f>
        <v>-24567.02976</v>
      </c>
      <c r="G9" s="11" t="n">
        <f aca="false">-G4*Assumptions!$B$28</f>
        <v>-25549.7109504</v>
      </c>
    </row>
    <row r="10" customFormat="false" ht="15" hidden="false" customHeight="false" outlineLevel="0" collapsed="false">
      <c r="A10" s="3" t="s">
        <v>53</v>
      </c>
      <c r="C10" s="11" t="n">
        <f aca="false">-(C4-B4)*Assumptions!$B$29</f>
        <v>-5600</v>
      </c>
      <c r="D10" s="11" t="n">
        <f aca="false">-(D4-C4)*Assumptions!$B$29</f>
        <v>-5824</v>
      </c>
      <c r="E10" s="11" t="n">
        <f aca="false">-(E4-D4)*Assumptions!$B$29</f>
        <v>-6056.96000000001</v>
      </c>
      <c r="F10" s="11" t="n">
        <f aca="false">-(F4-E4)*Assumptions!$B$29</f>
        <v>-6299.23840000001</v>
      </c>
      <c r="G10" s="11" t="n">
        <f aca="false">-(G4-F4)*Assumptions!$B$29</f>
        <v>-6551.20793600001</v>
      </c>
    </row>
    <row r="12" customFormat="false" ht="15" hidden="false" customHeight="false" outlineLevel="0" collapsed="false">
      <c r="A12" s="6" t="s">
        <v>54</v>
      </c>
      <c r="C12" s="7" t="n">
        <f aca="false">C7+C9+C10</f>
        <v>149334.624</v>
      </c>
      <c r="D12" s="7" t="n">
        <f aca="false">D7+D9+D10</f>
        <v>155308.00896</v>
      </c>
      <c r="E12" s="7" t="n">
        <f aca="false">E7+E9+E10</f>
        <v>169394.3773184</v>
      </c>
      <c r="F12" s="7" t="n">
        <f aca="false">F7+F9+F10</f>
        <v>184359.162331136</v>
      </c>
      <c r="G12" s="7" t="n">
        <f aca="false">G7+G9+G10</f>
        <v>200250.099141181</v>
      </c>
    </row>
    <row r="14" customFormat="false" ht="15" hidden="false" customHeight="false" outlineLevel="0" collapsed="false">
      <c r="A14" s="1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13"/>
      <c r="B3" s="14" t="s">
        <v>57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</row>
    <row r="5" customFormat="false" ht="15" hidden="false" customHeight="false" outlineLevel="0" collapsed="false">
      <c r="A5" s="2" t="s">
        <v>32</v>
      </c>
    </row>
    <row r="6" customFormat="false" ht="15" hidden="false" customHeight="false" outlineLevel="0" collapsed="false">
      <c r="A6" s="3" t="s">
        <v>58</v>
      </c>
      <c r="B6" s="11" t="n">
        <f aca="false">'Sources &amp; Uses'!B9</f>
        <v>393695.1</v>
      </c>
      <c r="C6" s="11" t="n">
        <f aca="false">B6</f>
        <v>393695.1</v>
      </c>
      <c r="D6" s="11" t="n">
        <f aca="false">C10</f>
        <v>370712.27838734</v>
      </c>
      <c r="E6" s="11" t="n">
        <f aca="false">D10</f>
        <v>345086.432289225</v>
      </c>
      <c r="F6" s="11" t="n">
        <f aca="false">E10</f>
        <v>316513.613889826</v>
      </c>
      <c r="G6" s="11" t="n">
        <f aca="false">F10</f>
        <v>284654.921374496</v>
      </c>
    </row>
    <row r="7" customFormat="false" ht="15" hidden="false" customHeight="false" outlineLevel="0" collapsed="false">
      <c r="A7" s="3" t="s">
        <v>59</v>
      </c>
      <c r="C7" s="11" t="n">
        <f aca="false">-PMT(Assumptions!$B$17,Assumptions!$B$18,'Sources &amp; Uses'!$B$9)</f>
        <v>68257.7581126597</v>
      </c>
      <c r="D7" s="11" t="n">
        <f aca="false">-PMT(Assumptions!$B$17,Assumptions!$B$18,'Sources &amp; Uses'!$B$9)</f>
        <v>68257.7581126597</v>
      </c>
      <c r="E7" s="11" t="n">
        <f aca="false">-PMT(Assumptions!$B$17,Assumptions!$B$18,'Sources &amp; Uses'!$B$9)</f>
        <v>68257.7581126597</v>
      </c>
      <c r="F7" s="11" t="n">
        <f aca="false">-PMT(Assumptions!$B$17,Assumptions!$B$18,'Sources &amp; Uses'!$B$9)</f>
        <v>68257.7581126597</v>
      </c>
      <c r="G7" s="11" t="n">
        <f aca="false">-PMT(Assumptions!$B$17,Assumptions!$B$18,'Sources &amp; Uses'!$B$9)</f>
        <v>68257.7581126597</v>
      </c>
    </row>
    <row r="8" customFormat="false" ht="15" hidden="false" customHeight="false" outlineLevel="0" collapsed="false">
      <c r="A8" s="3" t="s">
        <v>60</v>
      </c>
      <c r="C8" s="11" t="n">
        <f aca="false">C6*Assumptions!$B$17</f>
        <v>45274.9365</v>
      </c>
      <c r="D8" s="11" t="n">
        <f aca="false">D6*Assumptions!$B$17</f>
        <v>42631.9120145441</v>
      </c>
      <c r="E8" s="11" t="n">
        <f aca="false">E6*Assumptions!$B$17</f>
        <v>39684.9397132608</v>
      </c>
      <c r="F8" s="11" t="n">
        <f aca="false">F6*Assumptions!$B$17</f>
        <v>36399.06559733</v>
      </c>
      <c r="G8" s="11" t="n">
        <f aca="false">G6*Assumptions!$B$17</f>
        <v>32735.3159580671</v>
      </c>
    </row>
    <row r="9" customFormat="false" ht="15" hidden="false" customHeight="false" outlineLevel="0" collapsed="false">
      <c r="A9" s="3" t="s">
        <v>61</v>
      </c>
      <c r="C9" s="11" t="n">
        <f aca="false">C7-C8</f>
        <v>22982.8216126597</v>
      </c>
      <c r="D9" s="11" t="n">
        <f aca="false">D7-D8</f>
        <v>25625.8460981156</v>
      </c>
      <c r="E9" s="11" t="n">
        <f aca="false">E7-E8</f>
        <v>28572.8183993989</v>
      </c>
      <c r="F9" s="11" t="n">
        <f aca="false">F7-F8</f>
        <v>31858.6925153298</v>
      </c>
      <c r="G9" s="11" t="n">
        <f aca="false">G7-G8</f>
        <v>35522.4421545927</v>
      </c>
    </row>
    <row r="10" customFormat="false" ht="15" hidden="false" customHeight="false" outlineLevel="0" collapsed="false">
      <c r="A10" s="6" t="s">
        <v>62</v>
      </c>
      <c r="C10" s="7" t="n">
        <f aca="false">C6-C9</f>
        <v>370712.27838734</v>
      </c>
      <c r="D10" s="7" t="n">
        <f aca="false">D6-D9</f>
        <v>345086.432289225</v>
      </c>
      <c r="E10" s="7" t="n">
        <f aca="false">E6-E9</f>
        <v>316513.613889826</v>
      </c>
      <c r="F10" s="7" t="n">
        <f aca="false">F6-F9</f>
        <v>284654.921374496</v>
      </c>
      <c r="G10" s="7" t="n">
        <f aca="false">G6-G9</f>
        <v>249132.479219903</v>
      </c>
    </row>
    <row r="13" customFormat="false" ht="15" hidden="false" customHeight="false" outlineLevel="0" collapsed="false">
      <c r="A13" s="2" t="s">
        <v>63</v>
      </c>
    </row>
    <row r="14" customFormat="false" ht="15" hidden="false" customHeight="false" outlineLevel="0" collapsed="false">
      <c r="A14" s="3" t="s">
        <v>58</v>
      </c>
      <c r="B14" s="11" t="n">
        <f aca="false">'Sources &amp; Uses'!B10</f>
        <v>78739.02</v>
      </c>
      <c r="C14" s="11" t="n">
        <f aca="false">B14</f>
        <v>78739.02</v>
      </c>
      <c r="D14" s="11" t="n">
        <f aca="false">C18</f>
        <v>78739.02</v>
      </c>
      <c r="E14" s="11" t="n">
        <f aca="false">D18</f>
        <v>78739.02</v>
      </c>
      <c r="F14" s="11" t="n">
        <f aca="false">E18</f>
        <v>54006.3211684885</v>
      </c>
      <c r="G14" s="11" t="n">
        <f aca="false">F18</f>
        <v>27789.6604070863</v>
      </c>
    </row>
    <row r="15" customFormat="false" ht="15" hidden="false" customHeight="false" outlineLevel="0" collapsed="false">
      <c r="A15" s="3" t="s">
        <v>60</v>
      </c>
      <c r="C15" s="11" t="n">
        <f aca="false">C14*Assumptions!$B$19</f>
        <v>4724.3412</v>
      </c>
      <c r="D15" s="11" t="n">
        <f aca="false">D14*Assumptions!$B$19</f>
        <v>4724.3412</v>
      </c>
      <c r="E15" s="11" t="n">
        <f aca="false">E14*Assumptions!$B$19</f>
        <v>4724.3412</v>
      </c>
      <c r="F15" s="11" t="n">
        <f aca="false">F14*Assumptions!$B$19</f>
        <v>3240.37927010931</v>
      </c>
      <c r="G15" s="11" t="n">
        <f aca="false">G14*Assumptions!$B$19</f>
        <v>1667.37962442518</v>
      </c>
    </row>
    <row r="16" customFormat="false" ht="15" hidden="false" customHeight="false" outlineLevel="0" collapsed="false">
      <c r="A16" s="3" t="s">
        <v>64</v>
      </c>
      <c r="E16" s="11" t="n">
        <f aca="false">-PMT(Assumptions!$B$19,Assumptions!$B$21-Assumptions!$B$20,E14)</f>
        <v>29457.0400315115</v>
      </c>
      <c r="F16" s="11" t="n">
        <f aca="false">E16</f>
        <v>29457.0400315115</v>
      </c>
      <c r="G16" s="11" t="n">
        <f aca="false">F16</f>
        <v>29457.0400315115</v>
      </c>
    </row>
    <row r="17" customFormat="false" ht="15" hidden="false" customHeight="false" outlineLevel="0" collapsed="false">
      <c r="A17" s="3" t="s">
        <v>61</v>
      </c>
      <c r="C17" s="11" t="n">
        <v>0</v>
      </c>
      <c r="D17" s="11" t="n">
        <v>0</v>
      </c>
      <c r="E17" s="11" t="n">
        <f aca="false">E16-E15</f>
        <v>24732.6988315115</v>
      </c>
      <c r="F17" s="11" t="n">
        <f aca="false">F16-F15</f>
        <v>26216.6607614022</v>
      </c>
      <c r="G17" s="11" t="n">
        <f aca="false">G16-G15</f>
        <v>27789.6604070863</v>
      </c>
    </row>
    <row r="18" customFormat="false" ht="15" hidden="false" customHeight="false" outlineLevel="0" collapsed="false">
      <c r="A18" s="6" t="s">
        <v>62</v>
      </c>
      <c r="C18" s="7" t="n">
        <f aca="false">C14-C17</f>
        <v>78739.02</v>
      </c>
      <c r="D18" s="7" t="n">
        <f aca="false">D14-D17</f>
        <v>78739.02</v>
      </c>
      <c r="E18" s="7" t="n">
        <f aca="false">E14-E17</f>
        <v>54006.3211684885</v>
      </c>
      <c r="F18" s="7" t="n">
        <f aca="false">F14-F17</f>
        <v>27789.6604070863</v>
      </c>
      <c r="G18" s="7" t="n">
        <f aca="false">G14-G17</f>
        <v>0</v>
      </c>
    </row>
    <row r="21" customFormat="false" ht="15" hidden="false" customHeight="false" outlineLevel="0" collapsed="false">
      <c r="A21" s="2" t="s">
        <v>65</v>
      </c>
    </row>
    <row r="22" customFormat="false" ht="15" hidden="false" customHeight="false" outlineLevel="0" collapsed="false">
      <c r="A22" s="3" t="s">
        <v>66</v>
      </c>
      <c r="C22" s="11" t="n">
        <f aca="false">C7+C15+C17</f>
        <v>72982.0993126597</v>
      </c>
      <c r="D22" s="11" t="n">
        <f aca="false">D7+D15+D17</f>
        <v>72982.0993126597</v>
      </c>
      <c r="E22" s="11" t="n">
        <f aca="false">E7+E15+E17</f>
        <v>97714.7981441712</v>
      </c>
      <c r="F22" s="11" t="n">
        <f aca="false">F7+F15+F17</f>
        <v>97714.7981441712</v>
      </c>
      <c r="G22" s="11" t="n">
        <f aca="false">G7+G15+G17</f>
        <v>97714.7981441712</v>
      </c>
    </row>
    <row r="23" customFormat="false" ht="15" hidden="false" customHeight="false" outlineLevel="0" collapsed="false">
      <c r="A23" s="3" t="s">
        <v>67</v>
      </c>
      <c r="C23" s="11" t="n">
        <f aca="false">'Operating Model'!C7</f>
        <v>176774.624</v>
      </c>
      <c r="D23" s="11" t="n">
        <f aca="false">'Operating Model'!D7</f>
        <v>183845.60896</v>
      </c>
      <c r="E23" s="11" t="n">
        <f aca="false">'Operating Model'!E7</f>
        <v>199073.4813184</v>
      </c>
      <c r="F23" s="11" t="n">
        <f aca="false">'Operating Model'!F7</f>
        <v>215225.430491136</v>
      </c>
      <c r="G23" s="11" t="n">
        <f aca="false">'Operating Model'!G7</f>
        <v>232351.018027582</v>
      </c>
    </row>
    <row r="24" customFormat="false" ht="15" hidden="false" customHeight="false" outlineLevel="0" collapsed="false">
      <c r="A24" s="6" t="s">
        <v>68</v>
      </c>
      <c r="C24" s="16" t="n">
        <f aca="false">C23/C22</f>
        <v>2.42216414250687</v>
      </c>
      <c r="D24" s="16" t="n">
        <f aca="false">D23/D22</f>
        <v>2.51905070820715</v>
      </c>
      <c r="E24" s="16" t="n">
        <f aca="false">E23/E22</f>
        <v>2.03729102550753</v>
      </c>
      <c r="F24" s="16" t="n">
        <f aca="false">F23/F22</f>
        <v>2.20258788411543</v>
      </c>
      <c r="G24" s="16" t="n">
        <f aca="false">G23/G22</f>
        <v>2.37784882577114</v>
      </c>
    </row>
    <row r="25" customFormat="false" ht="15" hidden="false" customHeight="false" outlineLevel="0" collapsed="false">
      <c r="A25" s="3" t="s">
        <v>69</v>
      </c>
      <c r="C25" s="11" t="n">
        <f aca="false">'Operating Model'!C12-C22</f>
        <v>76352.5246873403</v>
      </c>
      <c r="D25" s="11" t="n">
        <f aca="false">'Operating Model'!D12-D22</f>
        <v>82325.9096473403</v>
      </c>
      <c r="E25" s="11" t="n">
        <f aca="false">'Operating Model'!E12-E22</f>
        <v>71679.5791742288</v>
      </c>
      <c r="F25" s="11" t="n">
        <f aca="false">'Operating Model'!F12-F22</f>
        <v>86644.3641869648</v>
      </c>
      <c r="G25" s="11" t="n">
        <f aca="false">'Operating Model'!G12-G22</f>
        <v>102535.30099701</v>
      </c>
    </row>
    <row r="27" customFormat="false" ht="15" hidden="false" customHeight="false" outlineLevel="0" collapsed="false">
      <c r="A27" s="6" t="s">
        <v>70</v>
      </c>
      <c r="C27" s="7" t="n">
        <f aca="false">C10+C18</f>
        <v>449451.29838734</v>
      </c>
      <c r="D27" s="7" t="n">
        <f aca="false">D10+D18</f>
        <v>423825.452289225</v>
      </c>
      <c r="E27" s="7" t="n">
        <f aca="false">E10+E18</f>
        <v>370519.935058314</v>
      </c>
      <c r="F27" s="7" t="n">
        <f aca="false">F10+F18</f>
        <v>312444.581781582</v>
      </c>
      <c r="G27" s="7" t="n">
        <f aca="false">G10+G18</f>
        <v>249132.479219903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A3" s="2" t="s">
        <v>72</v>
      </c>
    </row>
    <row r="4" customFormat="false" ht="15" hidden="false" customHeight="false" outlineLevel="0" collapsed="false">
      <c r="A4" s="3" t="s">
        <v>73</v>
      </c>
      <c r="B4" s="17" t="n">
        <f aca="false">Assumptions!B32</f>
        <v>5</v>
      </c>
    </row>
    <row r="5" customFormat="false" ht="15" hidden="false" customHeight="false" outlineLevel="0" collapsed="false">
      <c r="A5" s="3" t="s">
        <v>74</v>
      </c>
      <c r="B5" s="12" t="n">
        <f aca="false">Assumptions!B33</f>
        <v>3</v>
      </c>
    </row>
    <row r="6" customFormat="false" ht="15" hidden="false" customHeight="false" outlineLevel="0" collapsed="false">
      <c r="A6" s="3" t="s">
        <v>75</v>
      </c>
      <c r="B6" s="11" t="n">
        <f aca="false">INDEX('Operating Model'!$C$7:$G$7,MATCH($B$4,'Operating Model'!$C$2:$G$2,0))</f>
        <v>232351.018027582</v>
      </c>
    </row>
    <row r="7" customFormat="false" ht="15" hidden="false" customHeight="false" outlineLevel="0" collapsed="false">
      <c r="A7" s="3" t="s">
        <v>76</v>
      </c>
      <c r="B7" s="11" t="n">
        <f aca="false">B6*B5</f>
        <v>697053.054082745</v>
      </c>
    </row>
    <row r="8" customFormat="false" ht="15" hidden="false" customHeight="false" outlineLevel="0" collapsed="false">
      <c r="A8" s="3" t="s">
        <v>77</v>
      </c>
      <c r="B8" s="11" t="n">
        <f aca="false">INDEX('Debt Schedule'!$C$27:$G$27,MATCH($B$4,'Operating Model'!$C$2:$G$2,0))</f>
        <v>249132.479219903</v>
      </c>
    </row>
    <row r="9" customFormat="false" ht="15" hidden="false" customHeight="false" outlineLevel="0" collapsed="false">
      <c r="A9" s="6" t="s">
        <v>78</v>
      </c>
      <c r="B9" s="7" t="n">
        <f aca="false">B7-B8</f>
        <v>447920.574862841</v>
      </c>
    </row>
    <row r="10" customFormat="false" ht="15" hidden="false" customHeight="false" outlineLevel="0" collapsed="false">
      <c r="A10" s="3" t="s">
        <v>79</v>
      </c>
      <c r="B10" s="11" t="n">
        <f aca="false">'Sources &amp; Uses'!B11</f>
        <v>52492.68</v>
      </c>
    </row>
    <row r="11" customFormat="false" ht="15" hidden="false" customHeight="false" outlineLevel="0" collapsed="false">
      <c r="A11" s="6" t="s">
        <v>80</v>
      </c>
      <c r="B11" s="16" t="n">
        <f aca="false">B9/B10</f>
        <v>8.53301021900275</v>
      </c>
    </row>
    <row r="12" customFormat="false" ht="15" hidden="false" customHeight="false" outlineLevel="0" collapsed="false">
      <c r="A12" s="6" t="s">
        <v>81</v>
      </c>
      <c r="B12" s="18" t="n">
        <f aca="false">(B11)^(1/B4)-1</f>
        <v>0.53539617074223</v>
      </c>
    </row>
    <row r="15" customFormat="false" ht="15" hidden="false" customHeight="false" outlineLevel="0" collapsed="false">
      <c r="A15" s="2" t="s">
        <v>82</v>
      </c>
    </row>
    <row r="16" customFormat="false" ht="15" hidden="false" customHeight="false" outlineLevel="0" collapsed="false">
      <c r="B16" s="6" t="s">
        <v>83</v>
      </c>
      <c r="C16" s="19" t="n">
        <v>3</v>
      </c>
      <c r="D16" s="19" t="n">
        <v>4</v>
      </c>
      <c r="E16" s="19" t="n">
        <v>5</v>
      </c>
    </row>
    <row r="17" customFormat="false" ht="15" hidden="false" customHeight="false" outlineLevel="0" collapsed="false">
      <c r="B17" s="20" t="n">
        <v>2.5</v>
      </c>
      <c r="C17" s="12" t="n">
        <f aca="false">(INDEX('Operating Model'!$C$7:$G$7,MATCH(C$16,'Operating Model'!$C$2:$G$2,0))*$B17-INDEX('Debt Schedule'!$C$27:$G$27,MATCH(C$16,'Operating Model'!$C$2:$G$2,0)))/'Sources &amp; Uses'!$B$11</f>
        <v>2.42250478043197</v>
      </c>
      <c r="D17" s="12" t="n">
        <f aca="false">(INDEX('Operating Model'!$C$7:$G$7,MATCH(D$16,'Operating Model'!$C$2:$G$2,0))*$B17-INDEX('Debt Schedule'!$C$27:$G$27,MATCH(D$16,'Operating Model'!$C$2:$G$2,0)))/'Sources &amp; Uses'!$B$11</f>
        <v>4.29810393461065</v>
      </c>
      <c r="E17" s="12" t="n">
        <f aca="false">(INDEX('Operating Model'!$C$7:$G$7,MATCH(E$16,'Operating Model'!$C$2:$G$2,0))*$B17-INDEX('Debt Schedule'!$C$27:$G$27,MATCH(E$16,'Operating Model'!$C$2:$G$2,0)))/'Sources &amp; Uses'!$B$11</f>
        <v>6.31983480075794</v>
      </c>
    </row>
    <row r="18" customFormat="false" ht="15" hidden="false" customHeight="false" outlineLevel="0" collapsed="false">
      <c r="B18" s="20" t="n">
        <v>3</v>
      </c>
      <c r="C18" s="12" t="n">
        <f aca="false">(INDEX('Operating Model'!$C$7:$G$7,MATCH(C$16,'Operating Model'!$C$2:$G$2,0))*$B18-INDEX('Debt Schedule'!$C$27:$G$27,MATCH(C$16,'Operating Model'!$C$2:$G$2,0)))/'Sources &amp; Uses'!$B$11</f>
        <v>4.31870708252819</v>
      </c>
      <c r="D18" s="12" t="n">
        <f aca="false">(INDEX('Operating Model'!$C$7:$G$7,MATCH(D$16,'Operating Model'!$C$2:$G$2,0))*$B18-INDEX('Debt Schedule'!$C$27:$G$27,MATCH(D$16,'Operating Model'!$C$2:$G$2,0)))/'Sources &amp; Uses'!$B$11</f>
        <v>6.34815577508761</v>
      </c>
      <c r="E18" s="12" t="n">
        <f aca="false">(INDEX('Operating Model'!$C$7:$G$7,MATCH(E$16,'Operating Model'!$C$2:$G$2,0))*$B18-INDEX('Debt Schedule'!$C$27:$G$27,MATCH(E$16,'Operating Model'!$C$2:$G$2,0)))/'Sources &amp; Uses'!$B$11</f>
        <v>8.53301021900275</v>
      </c>
    </row>
    <row r="19" customFormat="false" ht="15" hidden="false" customHeight="false" outlineLevel="0" collapsed="false">
      <c r="B19" s="20" t="n">
        <v>3.5</v>
      </c>
      <c r="C19" s="12" t="n">
        <f aca="false">(INDEX('Operating Model'!$C$7:$G$7,MATCH(C$16,'Operating Model'!$C$2:$G$2,0))*$B19-INDEX('Debt Schedule'!$C$27:$G$27,MATCH(C$16,'Operating Model'!$C$2:$G$2,0)))/'Sources &amp; Uses'!$B$11</f>
        <v>6.2149093846244</v>
      </c>
      <c r="D19" s="12" t="n">
        <f aca="false">(INDEX('Operating Model'!$C$7:$G$7,MATCH(D$16,'Operating Model'!$C$2:$G$2,0))*$B19-INDEX('Debt Schedule'!$C$27:$G$27,MATCH(D$16,'Operating Model'!$C$2:$G$2,0)))/'Sources &amp; Uses'!$B$11</f>
        <v>8.39820761556457</v>
      </c>
      <c r="E19" s="12" t="n">
        <f aca="false">(INDEX('Operating Model'!$C$7:$G$7,MATCH(E$16,'Operating Model'!$C$2:$G$2,0))*$B19-INDEX('Debt Schedule'!$C$27:$G$27,MATCH(E$16,'Operating Model'!$C$2:$G$2,0)))/'Sources &amp; Uses'!$B$11</f>
        <v>10.7461856372476</v>
      </c>
    </row>
    <row r="22" customFormat="false" ht="15" hidden="false" customHeight="false" outlineLevel="0" collapsed="false">
      <c r="A22" s="2" t="s">
        <v>84</v>
      </c>
    </row>
    <row r="23" customFormat="false" ht="15" hidden="false" customHeight="false" outlineLevel="0" collapsed="false">
      <c r="B23" s="6" t="s">
        <v>83</v>
      </c>
      <c r="C23" s="19" t="n">
        <v>3</v>
      </c>
      <c r="D23" s="19" t="n">
        <v>4</v>
      </c>
      <c r="E23" s="19" t="n">
        <v>5</v>
      </c>
    </row>
    <row r="24" customFormat="false" ht="15" hidden="false" customHeight="false" outlineLevel="0" collapsed="false">
      <c r="B24" s="20" t="n">
        <v>2.5</v>
      </c>
      <c r="C24" s="9" t="n">
        <f aca="false">(C17)^(1/C$23)-1</f>
        <v>0.343037732340699</v>
      </c>
      <c r="D24" s="9" t="n">
        <f aca="false">(D17)^(1/D$23)-1</f>
        <v>0.439856556383792</v>
      </c>
      <c r="E24" s="9" t="n">
        <f aca="false">(E17)^(1/E$23)-1</f>
        <v>0.445909613369023</v>
      </c>
    </row>
    <row r="25" customFormat="false" ht="15" hidden="false" customHeight="false" outlineLevel="0" collapsed="false">
      <c r="B25" s="20" t="n">
        <v>3</v>
      </c>
      <c r="C25" s="9" t="n">
        <f aca="false">(C18)^(1/C$23)-1</f>
        <v>0.628488076061686</v>
      </c>
      <c r="D25" s="9" t="n">
        <f aca="false">(D18)^(1/D$23)-1</f>
        <v>0.587310517174166</v>
      </c>
      <c r="E25" s="9" t="n">
        <f aca="false">(E18)^(1/E$23)-1</f>
        <v>0.53539617074223</v>
      </c>
    </row>
    <row r="26" customFormat="false" ht="15" hidden="false" customHeight="false" outlineLevel="0" collapsed="false">
      <c r="B26" s="20" t="n">
        <v>3.5</v>
      </c>
      <c r="C26" s="9" t="n">
        <f aca="false">(C19)^(1/C$23)-1</f>
        <v>0.83856194591217</v>
      </c>
      <c r="D26" s="9" t="n">
        <f aca="false">(D19)^(1/D$23)-1</f>
        <v>0.702341363255058</v>
      </c>
      <c r="E26" s="9" t="n">
        <f aca="false">(E19)^(1/E$23)-1</f>
        <v>0.607869761578405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85</v>
      </c>
    </row>
    <row r="3" customFormat="false" ht="23.85" hidden="false" customHeight="false" outlineLevel="0" collapsed="false">
      <c r="A3" s="21" t="s">
        <v>86</v>
      </c>
    </row>
    <row r="4" customFormat="false" ht="15" hidden="false" customHeight="false" outlineLevel="0" collapsed="false">
      <c r="A4" s="21"/>
    </row>
    <row r="5" customFormat="false" ht="35.05" hidden="false" customHeight="false" outlineLevel="0" collapsed="false">
      <c r="A5" s="21" t="s">
        <v>87</v>
      </c>
    </row>
    <row r="6" customFormat="false" ht="15" hidden="false" customHeight="false" outlineLevel="0" collapsed="false">
      <c r="A6" s="21"/>
    </row>
    <row r="7" customFormat="false" ht="23.85" hidden="false" customHeight="false" outlineLevel="0" collapsed="false">
      <c r="A7" s="21" t="s">
        <v>88</v>
      </c>
    </row>
    <row r="8" customFormat="false" ht="15" hidden="false" customHeight="false" outlineLevel="0" collapsed="false">
      <c r="A8" s="21"/>
    </row>
    <row r="9" customFormat="false" ht="35.05" hidden="false" customHeight="false" outlineLevel="0" collapsed="false">
      <c r="A9" s="21" t="s">
        <v>89</v>
      </c>
    </row>
    <row r="10" customFormat="false" ht="15" hidden="false" customHeight="false" outlineLevel="0" collapsed="false">
      <c r="A10" s="21"/>
    </row>
    <row r="11" customFormat="false" ht="23.85" hidden="false" customHeight="false" outlineLevel="0" collapsed="false">
      <c r="A11" s="21" t="s">
        <v>90</v>
      </c>
    </row>
    <row r="12" customFormat="false" ht="15" hidden="false" customHeight="false" outlineLevel="0" collapsed="false">
      <c r="A12" s="21"/>
    </row>
    <row r="13" customFormat="false" ht="23.85" hidden="false" customHeight="false" outlineLevel="0" collapsed="false">
      <c r="A13" s="21" t="s">
        <v>91</v>
      </c>
    </row>
    <row r="14" customFormat="false" ht="15" hidden="false" customHeight="false" outlineLevel="0" collapsed="false">
      <c r="A14" s="21"/>
    </row>
    <row r="15" customFormat="false" ht="79.85" hidden="false" customHeight="false" outlineLevel="0" collapsed="false">
      <c r="A15" s="2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2026-09-20T15:20:17Z</dcterms:created>
  <dc:creator>openpyxl</dc:creator>
  <dc:description/>
  <dc:language>en-US</dc:language>
  <cp:lastModifiedBy/>
  <dcterms:modified xsi:type="dcterms:W3CDTF">2026-09-20T15:20:17Z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